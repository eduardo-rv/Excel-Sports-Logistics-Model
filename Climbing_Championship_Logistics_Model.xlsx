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URSOS\Master_A2\ExcelGreen_A2\A_CASOS_DE_ESTUDIO\MODELADO_DATOS\"/>
    </mc:Choice>
  </mc:AlternateContent>
  <xr:revisionPtr revIDLastSave="0" documentId="13_ncr:1_{261AB9AF-0739-4BDF-B2F9-AF614C2CCE7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Executive_Summary" sheetId="6" r:id="rId1"/>
    <sheet name="Calculation_Engine" sheetId="5" r:id="rId2"/>
    <sheet name="Raw_Data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6" l="1"/>
  <c r="D22" i="6"/>
  <c r="D20" i="6"/>
  <c r="D3" i="6"/>
  <c r="D201" i="5" l="1" a="1"/>
  <c r="D201" i="5" s="1"/>
  <c r="E201" i="5" a="1"/>
  <c r="E201" i="5" s="1"/>
  <c r="F201" i="5" a="1"/>
  <c r="F201" i="5" s="1"/>
  <c r="G201" i="5" a="1"/>
  <c r="G201" i="5" s="1"/>
  <c r="H201" i="5" a="1"/>
  <c r="H201" i="5" s="1"/>
  <c r="I201" i="5" a="1"/>
  <c r="I201" i="5" s="1"/>
  <c r="J201" i="5" a="1"/>
  <c r="J201" i="5" s="1"/>
  <c r="K201" i="5" a="1"/>
  <c r="K201" i="5" s="1"/>
  <c r="D202" i="5" a="1"/>
  <c r="D202" i="5" s="1"/>
  <c r="E202" i="5" a="1"/>
  <c r="E202" i="5" s="1"/>
  <c r="F202" i="5" a="1"/>
  <c r="F202" i="5" s="1"/>
  <c r="G202" i="5" a="1"/>
  <c r="G202" i="5" s="1"/>
  <c r="H202" i="5" a="1"/>
  <c r="H202" i="5" s="1"/>
  <c r="I202" i="5" a="1"/>
  <c r="I202" i="5" s="1"/>
  <c r="J202" i="5" a="1"/>
  <c r="J202" i="5" s="1"/>
  <c r="K202" i="5" a="1"/>
  <c r="K202" i="5" s="1"/>
  <c r="D203" i="5" a="1"/>
  <c r="D203" i="5" s="1"/>
  <c r="E203" i="5" a="1"/>
  <c r="E203" i="5" s="1"/>
  <c r="F203" i="5" a="1"/>
  <c r="F203" i="5" s="1"/>
  <c r="G203" i="5" a="1"/>
  <c r="G203" i="5" s="1"/>
  <c r="H203" i="5" a="1"/>
  <c r="H203" i="5" s="1"/>
  <c r="I203" i="5" a="1"/>
  <c r="I203" i="5" s="1"/>
  <c r="J203" i="5" a="1"/>
  <c r="J203" i="5" s="1"/>
  <c r="K203" i="5" a="1"/>
  <c r="K203" i="5" s="1"/>
  <c r="D204" i="5" a="1"/>
  <c r="D204" i="5" s="1"/>
  <c r="E204" i="5" a="1"/>
  <c r="E204" i="5" s="1"/>
  <c r="F204" i="5" a="1"/>
  <c r="F204" i="5" s="1"/>
  <c r="G204" i="5" a="1"/>
  <c r="G204" i="5" s="1"/>
  <c r="H204" i="5" a="1"/>
  <c r="H204" i="5" s="1"/>
  <c r="I204" i="5" a="1"/>
  <c r="I204" i="5" s="1"/>
  <c r="J204" i="5" a="1"/>
  <c r="J204" i="5" s="1"/>
  <c r="K204" i="5" a="1"/>
  <c r="K204" i="5" s="1"/>
  <c r="D205" i="5" a="1"/>
  <c r="D205" i="5" s="1"/>
  <c r="E205" i="5" a="1"/>
  <c r="E205" i="5" s="1"/>
  <c r="F205" i="5" a="1"/>
  <c r="F205" i="5" s="1"/>
  <c r="G205" i="5" a="1"/>
  <c r="G205" i="5" s="1"/>
  <c r="H205" i="5" a="1"/>
  <c r="H205" i="5" s="1"/>
  <c r="I205" i="5" a="1"/>
  <c r="I205" i="5" s="1"/>
  <c r="J205" i="5" a="1"/>
  <c r="J205" i="5" s="1"/>
  <c r="K205" i="5" a="1"/>
  <c r="K205" i="5" s="1"/>
  <c r="D206" i="5" a="1"/>
  <c r="D206" i="5" s="1"/>
  <c r="E206" i="5" a="1"/>
  <c r="E206" i="5" s="1"/>
  <c r="F206" i="5" a="1"/>
  <c r="F206" i="5" s="1"/>
  <c r="G206" i="5" a="1"/>
  <c r="G206" i="5" s="1"/>
  <c r="H206" i="5" a="1"/>
  <c r="H206" i="5" s="1"/>
  <c r="I206" i="5" a="1"/>
  <c r="I206" i="5" s="1"/>
  <c r="J206" i="5" a="1"/>
  <c r="J206" i="5" s="1"/>
  <c r="K206" i="5" a="1"/>
  <c r="K206" i="5" s="1"/>
  <c r="D207" i="5" a="1"/>
  <c r="D207" i="5" s="1"/>
  <c r="E207" i="5" a="1"/>
  <c r="E207" i="5" s="1"/>
  <c r="F207" i="5" a="1"/>
  <c r="F207" i="5" s="1"/>
  <c r="G207" i="5" a="1"/>
  <c r="G207" i="5" s="1"/>
  <c r="H207" i="5" a="1"/>
  <c r="H207" i="5" s="1"/>
  <c r="I207" i="5" a="1"/>
  <c r="I207" i="5" s="1"/>
  <c r="J207" i="5" a="1"/>
  <c r="J207" i="5" s="1"/>
  <c r="K207" i="5" a="1"/>
  <c r="K207" i="5" s="1"/>
  <c r="D208" i="5" a="1"/>
  <c r="D208" i="5" s="1"/>
  <c r="E208" i="5" a="1"/>
  <c r="E208" i="5" s="1"/>
  <c r="F208" i="5" a="1"/>
  <c r="F208" i="5" s="1"/>
  <c r="G208" i="5" a="1"/>
  <c r="G208" i="5" s="1"/>
  <c r="H208" i="5" a="1"/>
  <c r="H208" i="5" s="1"/>
  <c r="I208" i="5" a="1"/>
  <c r="I208" i="5" s="1"/>
  <c r="J208" i="5" a="1"/>
  <c r="J208" i="5" s="1"/>
  <c r="K208" i="5" a="1"/>
  <c r="K208" i="5" s="1"/>
  <c r="D209" i="5" a="1"/>
  <c r="D209" i="5" s="1"/>
  <c r="E209" i="5" a="1"/>
  <c r="E209" i="5" s="1"/>
  <c r="F209" i="5" a="1"/>
  <c r="F209" i="5" s="1"/>
  <c r="G209" i="5" a="1"/>
  <c r="G209" i="5" s="1"/>
  <c r="H209" i="5" a="1"/>
  <c r="H209" i="5" s="1"/>
  <c r="I209" i="5" a="1"/>
  <c r="I209" i="5" s="1"/>
  <c r="J209" i="5" a="1"/>
  <c r="J209" i="5" s="1"/>
  <c r="K209" i="5" a="1"/>
  <c r="K209" i="5" s="1"/>
  <c r="D210" i="5" a="1"/>
  <c r="D210" i="5" s="1"/>
  <c r="E210" i="5" a="1"/>
  <c r="E210" i="5" s="1"/>
  <c r="F210" i="5" a="1"/>
  <c r="F210" i="5" s="1"/>
  <c r="G210" i="5" a="1"/>
  <c r="G210" i="5" s="1"/>
  <c r="H210" i="5" a="1"/>
  <c r="H210" i="5" s="1"/>
  <c r="I210" i="5" a="1"/>
  <c r="I210" i="5" s="1"/>
  <c r="J210" i="5" a="1"/>
  <c r="J210" i="5" s="1"/>
  <c r="K210" i="5" a="1"/>
  <c r="K210" i="5" s="1"/>
  <c r="D211" i="5" a="1"/>
  <c r="D211" i="5" s="1"/>
  <c r="E211" i="5" a="1"/>
  <c r="E211" i="5" s="1"/>
  <c r="F211" i="5" a="1"/>
  <c r="F211" i="5" s="1"/>
  <c r="G211" i="5" a="1"/>
  <c r="G211" i="5" s="1"/>
  <c r="H211" i="5" a="1"/>
  <c r="H211" i="5" s="1"/>
  <c r="I211" i="5" a="1"/>
  <c r="I211" i="5" s="1"/>
  <c r="J211" i="5" a="1"/>
  <c r="J211" i="5" s="1"/>
  <c r="K211" i="5" a="1"/>
  <c r="K211" i="5" s="1"/>
  <c r="D212" i="5" a="1"/>
  <c r="D212" i="5" s="1"/>
  <c r="E212" i="5" a="1"/>
  <c r="E212" i="5" s="1"/>
  <c r="F212" i="5" a="1"/>
  <c r="F212" i="5" s="1"/>
  <c r="G212" i="5" a="1"/>
  <c r="G212" i="5" s="1"/>
  <c r="H212" i="5" a="1"/>
  <c r="H212" i="5" s="1"/>
  <c r="I212" i="5" a="1"/>
  <c r="I212" i="5" s="1"/>
  <c r="J212" i="5" a="1"/>
  <c r="J212" i="5" s="1"/>
  <c r="K212" i="5" a="1"/>
  <c r="K212" i="5" s="1"/>
  <c r="D213" i="5" a="1"/>
  <c r="D213" i="5" s="1"/>
  <c r="E213" i="5" a="1"/>
  <c r="E213" i="5" s="1"/>
  <c r="F213" i="5" a="1"/>
  <c r="F213" i="5" s="1"/>
  <c r="G213" i="5" a="1"/>
  <c r="G213" i="5" s="1"/>
  <c r="H213" i="5" a="1"/>
  <c r="H213" i="5" s="1"/>
  <c r="I213" i="5" a="1"/>
  <c r="I213" i="5" s="1"/>
  <c r="J213" i="5" a="1"/>
  <c r="J213" i="5" s="1"/>
  <c r="K213" i="5" a="1"/>
  <c r="K213" i="5" s="1"/>
  <c r="D214" i="5" a="1"/>
  <c r="D214" i="5" s="1"/>
  <c r="E214" i="5" a="1"/>
  <c r="E214" i="5" s="1"/>
  <c r="F214" i="5" a="1"/>
  <c r="F214" i="5" s="1"/>
  <c r="G214" i="5" a="1"/>
  <c r="G214" i="5" s="1"/>
  <c r="H214" i="5" a="1"/>
  <c r="H214" i="5" s="1"/>
  <c r="I214" i="5" a="1"/>
  <c r="I214" i="5" s="1"/>
  <c r="J214" i="5" a="1"/>
  <c r="J214" i="5" s="1"/>
  <c r="K214" i="5" a="1"/>
  <c r="K214" i="5" s="1"/>
  <c r="D215" i="5" a="1"/>
  <c r="D215" i="5" s="1"/>
  <c r="E215" i="5" a="1"/>
  <c r="E215" i="5" s="1"/>
  <c r="F215" i="5" a="1"/>
  <c r="F215" i="5" s="1"/>
  <c r="G215" i="5" a="1"/>
  <c r="G215" i="5" s="1"/>
  <c r="H215" i="5" a="1"/>
  <c r="H215" i="5" s="1"/>
  <c r="I215" i="5" a="1"/>
  <c r="I215" i="5" s="1"/>
  <c r="J215" i="5" a="1"/>
  <c r="J215" i="5" s="1"/>
  <c r="K215" i="5" a="1"/>
  <c r="K215" i="5" s="1"/>
  <c r="D216" i="5" a="1"/>
  <c r="D216" i="5" s="1"/>
  <c r="E216" i="5" a="1"/>
  <c r="E216" i="5" s="1"/>
  <c r="F216" i="5" a="1"/>
  <c r="F216" i="5" s="1"/>
  <c r="G216" i="5" a="1"/>
  <c r="G216" i="5" s="1"/>
  <c r="H216" i="5" a="1"/>
  <c r="H216" i="5" s="1"/>
  <c r="I216" i="5" a="1"/>
  <c r="I216" i="5" s="1"/>
  <c r="J216" i="5" a="1"/>
  <c r="J216" i="5" s="1"/>
  <c r="K216" i="5" a="1"/>
  <c r="K216" i="5" s="1"/>
  <c r="D217" i="5" a="1"/>
  <c r="D217" i="5" s="1"/>
  <c r="E217" i="5" a="1"/>
  <c r="E217" i="5" s="1"/>
  <c r="F217" i="5" a="1"/>
  <c r="F217" i="5" s="1"/>
  <c r="G217" i="5" a="1"/>
  <c r="G217" i="5" s="1"/>
  <c r="H217" i="5" a="1"/>
  <c r="H217" i="5" s="1"/>
  <c r="I217" i="5" a="1"/>
  <c r="I217" i="5" s="1"/>
  <c r="J217" i="5" a="1"/>
  <c r="J217" i="5" s="1"/>
  <c r="K217" i="5" a="1"/>
  <c r="K217" i="5" s="1"/>
  <c r="D218" i="5" a="1"/>
  <c r="D218" i="5" s="1"/>
  <c r="E218" i="5" a="1"/>
  <c r="E218" i="5" s="1"/>
  <c r="F218" i="5" a="1"/>
  <c r="F218" i="5" s="1"/>
  <c r="G218" i="5" a="1"/>
  <c r="G218" i="5" s="1"/>
  <c r="H218" i="5" a="1"/>
  <c r="H218" i="5" s="1"/>
  <c r="I218" i="5" a="1"/>
  <c r="I218" i="5" s="1"/>
  <c r="J218" i="5" a="1"/>
  <c r="J218" i="5" s="1"/>
  <c r="K218" i="5" a="1"/>
  <c r="K218" i="5" s="1"/>
  <c r="D219" i="5" a="1"/>
  <c r="D219" i="5" s="1"/>
  <c r="E219" i="5" a="1"/>
  <c r="E219" i="5" s="1"/>
  <c r="F219" i="5" a="1"/>
  <c r="F219" i="5" s="1"/>
  <c r="G219" i="5" a="1"/>
  <c r="G219" i="5" s="1"/>
  <c r="H219" i="5" a="1"/>
  <c r="H219" i="5" s="1"/>
  <c r="I219" i="5" a="1"/>
  <c r="I219" i="5" s="1"/>
  <c r="J219" i="5" a="1"/>
  <c r="J219" i="5" s="1"/>
  <c r="K219" i="5" a="1"/>
  <c r="K219" i="5" s="1"/>
  <c r="D220" i="5" a="1"/>
  <c r="D220" i="5" s="1"/>
  <c r="E220" i="5" a="1"/>
  <c r="E220" i="5" s="1"/>
  <c r="F220" i="5" a="1"/>
  <c r="F220" i="5" s="1"/>
  <c r="G220" i="5" a="1"/>
  <c r="G220" i="5" s="1"/>
  <c r="H220" i="5" a="1"/>
  <c r="H220" i="5" s="1"/>
  <c r="I220" i="5" a="1"/>
  <c r="I220" i="5" s="1"/>
  <c r="J220" i="5" a="1"/>
  <c r="J220" i="5" s="1"/>
  <c r="K220" i="5" a="1"/>
  <c r="K220" i="5" s="1"/>
  <c r="D221" i="5" a="1"/>
  <c r="D221" i="5" s="1"/>
  <c r="E221" i="5" a="1"/>
  <c r="E221" i="5" s="1"/>
  <c r="F221" i="5" a="1"/>
  <c r="F221" i="5" s="1"/>
  <c r="G221" i="5" a="1"/>
  <c r="G221" i="5" s="1"/>
  <c r="H221" i="5" a="1"/>
  <c r="H221" i="5" s="1"/>
  <c r="I221" i="5" a="1"/>
  <c r="I221" i="5" s="1"/>
  <c r="J221" i="5" a="1"/>
  <c r="J221" i="5" s="1"/>
  <c r="K221" i="5" a="1"/>
  <c r="K221" i="5" s="1"/>
  <c r="D222" i="5" a="1"/>
  <c r="D222" i="5" s="1"/>
  <c r="E222" i="5" a="1"/>
  <c r="E222" i="5" s="1"/>
  <c r="F222" i="5" a="1"/>
  <c r="F222" i="5" s="1"/>
  <c r="G222" i="5" a="1"/>
  <c r="G222" i="5" s="1"/>
  <c r="H222" i="5" a="1"/>
  <c r="H222" i="5" s="1"/>
  <c r="I222" i="5" a="1"/>
  <c r="I222" i="5" s="1"/>
  <c r="J222" i="5" a="1"/>
  <c r="J222" i="5" s="1"/>
  <c r="K222" i="5" a="1"/>
  <c r="K222" i="5" s="1"/>
  <c r="D223" i="5" a="1"/>
  <c r="D223" i="5" s="1"/>
  <c r="E223" i="5" a="1"/>
  <c r="E223" i="5" s="1"/>
  <c r="F223" i="5" a="1"/>
  <c r="F223" i="5" s="1"/>
  <c r="G223" i="5" a="1"/>
  <c r="G223" i="5" s="1"/>
  <c r="H223" i="5" a="1"/>
  <c r="H223" i="5" s="1"/>
  <c r="I223" i="5" a="1"/>
  <c r="I223" i="5" s="1"/>
  <c r="J223" i="5" a="1"/>
  <c r="J223" i="5" s="1"/>
  <c r="K223" i="5" a="1"/>
  <c r="K223" i="5" s="1"/>
  <c r="D200" i="5" a="1"/>
  <c r="D200" i="5" s="1"/>
  <c r="E200" i="5" a="1"/>
  <c r="E200" i="5" s="1"/>
  <c r="F200" i="5" a="1"/>
  <c r="F200" i="5" s="1"/>
  <c r="G200" i="5" a="1"/>
  <c r="G200" i="5" s="1"/>
  <c r="H200" i="5" a="1"/>
  <c r="H200" i="5" s="1"/>
  <c r="I200" i="5" a="1"/>
  <c r="I200" i="5" s="1"/>
  <c r="J200" i="5" a="1"/>
  <c r="J200" i="5" s="1"/>
  <c r="K200" i="5" a="1"/>
  <c r="K200" i="5" s="1"/>
  <c r="C201" i="5" a="1"/>
  <c r="C201" i="5" s="1"/>
  <c r="C202" i="5" a="1"/>
  <c r="C202" i="5" s="1"/>
  <c r="C203" i="5" a="1"/>
  <c r="C203" i="5" s="1"/>
  <c r="C204" i="5" a="1"/>
  <c r="C204" i="5" s="1"/>
  <c r="C205" i="5" a="1"/>
  <c r="C205" i="5" s="1"/>
  <c r="C206" i="5" a="1"/>
  <c r="C206" i="5" s="1"/>
  <c r="C207" i="5" a="1"/>
  <c r="C207" i="5" s="1"/>
  <c r="C208" i="5" a="1"/>
  <c r="C208" i="5" s="1"/>
  <c r="C209" i="5" a="1"/>
  <c r="C209" i="5" s="1"/>
  <c r="C210" i="5" a="1"/>
  <c r="C210" i="5" s="1"/>
  <c r="C211" i="5" a="1"/>
  <c r="C211" i="5" s="1"/>
  <c r="C212" i="5" a="1"/>
  <c r="C212" i="5" s="1"/>
  <c r="C213" i="5" a="1"/>
  <c r="C213" i="5" s="1"/>
  <c r="C214" i="5" a="1"/>
  <c r="C214" i="5" s="1"/>
  <c r="C215" i="5" a="1"/>
  <c r="C215" i="5" s="1"/>
  <c r="C216" i="5" a="1"/>
  <c r="C216" i="5" s="1"/>
  <c r="C217" i="5" a="1"/>
  <c r="C217" i="5" s="1"/>
  <c r="C218" i="5" a="1"/>
  <c r="C218" i="5" s="1"/>
  <c r="C219" i="5" a="1"/>
  <c r="C219" i="5" s="1"/>
  <c r="C220" i="5" a="1"/>
  <c r="C220" i="5" s="1"/>
  <c r="C221" i="5" a="1"/>
  <c r="C221" i="5" s="1"/>
  <c r="C222" i="5" a="1"/>
  <c r="C222" i="5" s="1"/>
  <c r="C223" i="5" a="1"/>
  <c r="C223" i="5" s="1"/>
  <c r="C200" i="5" a="1"/>
  <c r="C200" i="5" s="1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4" i="5"/>
  <c r="D5" i="5"/>
  <c r="E5" i="5"/>
  <c r="D6" i="5"/>
  <c r="E6" i="5"/>
  <c r="D7" i="5"/>
  <c r="E7" i="5"/>
  <c r="D8" i="5"/>
  <c r="E8" i="5"/>
  <c r="D9" i="5"/>
  <c r="E9" i="5"/>
  <c r="D10" i="5"/>
  <c r="E10" i="5"/>
  <c r="D11" i="5"/>
  <c r="E11" i="5"/>
  <c r="D12" i="5"/>
  <c r="E12" i="5"/>
  <c r="D13" i="5"/>
  <c r="E13" i="5"/>
  <c r="D14" i="5"/>
  <c r="E14" i="5"/>
  <c r="D15" i="5"/>
  <c r="E15" i="5"/>
  <c r="D16" i="5"/>
  <c r="E16" i="5"/>
  <c r="D17" i="5"/>
  <c r="E17" i="5"/>
  <c r="D18" i="5"/>
  <c r="E18" i="5"/>
  <c r="D19" i="5"/>
  <c r="E19" i="5"/>
  <c r="D20" i="5"/>
  <c r="E20" i="5"/>
  <c r="D21" i="5"/>
  <c r="E21" i="5"/>
  <c r="D22" i="5"/>
  <c r="E22" i="5"/>
  <c r="D23" i="5"/>
  <c r="E23" i="5"/>
  <c r="D24" i="5"/>
  <c r="E24" i="5"/>
  <c r="D25" i="5"/>
  <c r="E25" i="5"/>
  <c r="D26" i="5"/>
  <c r="E26" i="5"/>
  <c r="D27" i="5"/>
  <c r="E27" i="5"/>
  <c r="D28" i="5"/>
  <c r="E28" i="5"/>
  <c r="D29" i="5"/>
  <c r="E29" i="5"/>
  <c r="D30" i="5"/>
  <c r="E30" i="5"/>
  <c r="D31" i="5"/>
  <c r="E31" i="5"/>
  <c r="D32" i="5"/>
  <c r="E32" i="5"/>
  <c r="D33" i="5"/>
  <c r="E33" i="5"/>
  <c r="D34" i="5"/>
  <c r="E34" i="5"/>
  <c r="D35" i="5"/>
  <c r="E35" i="5"/>
  <c r="D36" i="5"/>
  <c r="E36" i="5"/>
  <c r="D37" i="5"/>
  <c r="E37" i="5"/>
  <c r="D38" i="5"/>
  <c r="E38" i="5"/>
  <c r="D39" i="5"/>
  <c r="E39" i="5"/>
  <c r="D40" i="5"/>
  <c r="E40" i="5"/>
  <c r="D41" i="5"/>
  <c r="E41" i="5"/>
  <c r="D42" i="5"/>
  <c r="E42" i="5"/>
  <c r="D43" i="5"/>
  <c r="E43" i="5"/>
  <c r="D44" i="5"/>
  <c r="E44" i="5"/>
  <c r="D45" i="5"/>
  <c r="E45" i="5"/>
  <c r="D46" i="5"/>
  <c r="E46" i="5"/>
  <c r="D47" i="5"/>
  <c r="E47" i="5"/>
  <c r="D48" i="5"/>
  <c r="E48" i="5"/>
  <c r="D49" i="5"/>
  <c r="E49" i="5"/>
  <c r="D50" i="5"/>
  <c r="E50" i="5"/>
  <c r="D51" i="5"/>
  <c r="E51" i="5"/>
  <c r="D52" i="5"/>
  <c r="E52" i="5"/>
  <c r="D53" i="5"/>
  <c r="E53" i="5"/>
  <c r="D54" i="5"/>
  <c r="E54" i="5"/>
  <c r="D55" i="5"/>
  <c r="E55" i="5"/>
  <c r="D56" i="5"/>
  <c r="E56" i="5"/>
  <c r="D57" i="5"/>
  <c r="E57" i="5"/>
  <c r="D58" i="5"/>
  <c r="E58" i="5"/>
  <c r="D59" i="5"/>
  <c r="E59" i="5"/>
  <c r="D60" i="5"/>
  <c r="E60" i="5"/>
  <c r="D61" i="5"/>
  <c r="E61" i="5"/>
  <c r="D62" i="5"/>
  <c r="E62" i="5"/>
  <c r="D63" i="5"/>
  <c r="E63" i="5"/>
  <c r="D64" i="5"/>
  <c r="E64" i="5"/>
  <c r="D65" i="5"/>
  <c r="E65" i="5"/>
  <c r="D66" i="5"/>
  <c r="E66" i="5"/>
  <c r="D67" i="5"/>
  <c r="E67" i="5"/>
  <c r="D68" i="5"/>
  <c r="E68" i="5"/>
  <c r="D69" i="5"/>
  <c r="E69" i="5"/>
  <c r="D70" i="5"/>
  <c r="E70" i="5"/>
  <c r="E4" i="5"/>
  <c r="D4" i="5"/>
  <c r="D80" i="5" s="1"/>
  <c r="D109" i="5" s="1"/>
  <c r="L215" i="5" l="1"/>
  <c r="L214" i="5"/>
  <c r="L222" i="5"/>
  <c r="L210" i="5"/>
  <c r="L221" i="5"/>
  <c r="L209" i="5"/>
  <c r="L205" i="5"/>
  <c r="L220" i="5"/>
  <c r="L208" i="5"/>
  <c r="L217" i="5"/>
  <c r="L219" i="5"/>
  <c r="L207" i="5"/>
  <c r="L218" i="5"/>
  <c r="L206" i="5"/>
  <c r="L212" i="5"/>
  <c r="L216" i="5"/>
  <c r="L213" i="5"/>
  <c r="L223" i="5"/>
  <c r="L211" i="5"/>
  <c r="L202" i="5"/>
  <c r="L203" i="5"/>
  <c r="L201" i="5"/>
  <c r="L200" i="5"/>
  <c r="L204" i="5"/>
  <c r="H78" i="5"/>
  <c r="H107" i="5" s="1"/>
  <c r="C101" i="5"/>
  <c r="C130" i="5" s="1"/>
  <c r="G99" i="5"/>
  <c r="G128" i="5" s="1"/>
  <c r="C98" i="5"/>
  <c r="C127" i="5" s="1"/>
  <c r="G96" i="5"/>
  <c r="G125" i="5" s="1"/>
  <c r="C95" i="5"/>
  <c r="C124" i="5" s="1"/>
  <c r="G93" i="5"/>
  <c r="G122" i="5" s="1"/>
  <c r="C92" i="5"/>
  <c r="C121" i="5" s="1"/>
  <c r="G90" i="5"/>
  <c r="G119" i="5" s="1"/>
  <c r="C89" i="5"/>
  <c r="C118" i="5" s="1"/>
  <c r="G87" i="5"/>
  <c r="G116" i="5" s="1"/>
  <c r="C86" i="5"/>
  <c r="C115" i="5" s="1"/>
  <c r="G84" i="5"/>
  <c r="G113" i="5" s="1"/>
  <c r="C83" i="5"/>
  <c r="C112" i="5" s="1"/>
  <c r="G81" i="5"/>
  <c r="G110" i="5" s="1"/>
  <c r="C80" i="5"/>
  <c r="C109" i="5" s="1"/>
  <c r="G78" i="5"/>
  <c r="G107" i="5" s="1"/>
  <c r="H136" i="5" s="1" a="1"/>
  <c r="H136" i="5" s="1"/>
  <c r="J100" i="5"/>
  <c r="F99" i="5"/>
  <c r="F128" i="5" s="1"/>
  <c r="J97" i="5"/>
  <c r="F96" i="5"/>
  <c r="F125" i="5" s="1"/>
  <c r="J94" i="5"/>
  <c r="F93" i="5"/>
  <c r="F122" i="5" s="1"/>
  <c r="J91" i="5"/>
  <c r="F90" i="5"/>
  <c r="F119" i="5" s="1"/>
  <c r="J88" i="5"/>
  <c r="F87" i="5"/>
  <c r="F116" i="5" s="1"/>
  <c r="J85" i="5"/>
  <c r="F84" i="5"/>
  <c r="F113" i="5" s="1"/>
  <c r="J82" i="5"/>
  <c r="F81" i="5"/>
  <c r="F110" i="5" s="1"/>
  <c r="J79" i="5"/>
  <c r="J108" i="5" s="1"/>
  <c r="K137" i="5" s="1" a="1"/>
  <c r="K137" i="5" s="1"/>
  <c r="F78" i="5"/>
  <c r="F107" i="5" s="1"/>
  <c r="I100" i="5"/>
  <c r="E99" i="5"/>
  <c r="E128" i="5" s="1"/>
  <c r="I97" i="5"/>
  <c r="E96" i="5"/>
  <c r="E125" i="5" s="1"/>
  <c r="I94" i="5"/>
  <c r="E93" i="5"/>
  <c r="E122" i="5" s="1"/>
  <c r="I91" i="5"/>
  <c r="E90" i="5"/>
  <c r="E119" i="5" s="1"/>
  <c r="I88" i="5"/>
  <c r="E87" i="5"/>
  <c r="E116" i="5" s="1"/>
  <c r="I85" i="5"/>
  <c r="E84" i="5"/>
  <c r="E113" i="5" s="1"/>
  <c r="I82" i="5"/>
  <c r="E81" i="5"/>
  <c r="E110" i="5" s="1"/>
  <c r="I79" i="5"/>
  <c r="I108" i="5" s="1"/>
  <c r="E78" i="5"/>
  <c r="E107" i="5" s="1"/>
  <c r="H100" i="5"/>
  <c r="D99" i="5"/>
  <c r="D128" i="5" s="1"/>
  <c r="H97" i="5"/>
  <c r="D96" i="5"/>
  <c r="D125" i="5" s="1"/>
  <c r="H94" i="5"/>
  <c r="D93" i="5"/>
  <c r="D122" i="5" s="1"/>
  <c r="H91" i="5"/>
  <c r="D90" i="5"/>
  <c r="D119" i="5" s="1"/>
  <c r="H88" i="5"/>
  <c r="D87" i="5"/>
  <c r="D116" i="5" s="1"/>
  <c r="H85" i="5"/>
  <c r="H114" i="5" s="1"/>
  <c r="D84" i="5"/>
  <c r="D113" i="5" s="1"/>
  <c r="H82" i="5"/>
  <c r="H111" i="5" s="1"/>
  <c r="D81" i="5"/>
  <c r="D110" i="5" s="1"/>
  <c r="H79" i="5"/>
  <c r="H108" i="5" s="1"/>
  <c r="D78" i="5"/>
  <c r="D107" i="5" s="1"/>
  <c r="G100" i="5"/>
  <c r="G129" i="5" s="1"/>
  <c r="C99" i="5"/>
  <c r="C128" i="5" s="1"/>
  <c r="G97" i="5"/>
  <c r="G126" i="5" s="1"/>
  <c r="C96" i="5"/>
  <c r="C125" i="5" s="1"/>
  <c r="G94" i="5"/>
  <c r="G123" i="5" s="1"/>
  <c r="C93" i="5"/>
  <c r="C122" i="5" s="1"/>
  <c r="G91" i="5"/>
  <c r="G120" i="5" s="1"/>
  <c r="C90" i="5"/>
  <c r="C119" i="5" s="1"/>
  <c r="G88" i="5"/>
  <c r="G117" i="5" s="1"/>
  <c r="C87" i="5"/>
  <c r="C116" i="5" s="1"/>
  <c r="G85" i="5"/>
  <c r="G114" i="5" s="1"/>
  <c r="C84" i="5"/>
  <c r="C113" i="5" s="1"/>
  <c r="G82" i="5"/>
  <c r="G111" i="5" s="1"/>
  <c r="C81" i="5"/>
  <c r="C110" i="5" s="1"/>
  <c r="G79" i="5"/>
  <c r="G108" i="5" s="1"/>
  <c r="J101" i="5"/>
  <c r="F100" i="5"/>
  <c r="F129" i="5" s="1"/>
  <c r="J98" i="5"/>
  <c r="F97" i="5"/>
  <c r="F126" i="5" s="1"/>
  <c r="J95" i="5"/>
  <c r="F94" i="5"/>
  <c r="F123" i="5" s="1"/>
  <c r="J92" i="5"/>
  <c r="F91" i="5"/>
  <c r="F120" i="5" s="1"/>
  <c r="J89" i="5"/>
  <c r="F88" i="5"/>
  <c r="F117" i="5" s="1"/>
  <c r="J86" i="5"/>
  <c r="F85" i="5"/>
  <c r="F114" i="5" s="1"/>
  <c r="J83" i="5"/>
  <c r="F82" i="5"/>
  <c r="F111" i="5" s="1"/>
  <c r="J80" i="5"/>
  <c r="F79" i="5"/>
  <c r="F108" i="5" s="1"/>
  <c r="I101" i="5"/>
  <c r="E100" i="5"/>
  <c r="E129" i="5" s="1"/>
  <c r="I98" i="5"/>
  <c r="E97" i="5"/>
  <c r="E126" i="5" s="1"/>
  <c r="I95" i="5"/>
  <c r="E94" i="5"/>
  <c r="E123" i="5" s="1"/>
  <c r="I92" i="5"/>
  <c r="E91" i="5"/>
  <c r="E120" i="5" s="1"/>
  <c r="I89" i="5"/>
  <c r="E88" i="5"/>
  <c r="E117" i="5" s="1"/>
  <c r="I86" i="5"/>
  <c r="E85" i="5"/>
  <c r="E114" i="5" s="1"/>
  <c r="I83" i="5"/>
  <c r="E82" i="5"/>
  <c r="E111" i="5" s="1"/>
  <c r="I80" i="5"/>
  <c r="I109" i="5" s="1"/>
  <c r="E79" i="5"/>
  <c r="E108" i="5" s="1"/>
  <c r="H101" i="5"/>
  <c r="D100" i="5"/>
  <c r="D129" i="5" s="1"/>
  <c r="H98" i="5"/>
  <c r="D97" i="5"/>
  <c r="D126" i="5" s="1"/>
  <c r="H95" i="5"/>
  <c r="D94" i="5"/>
  <c r="D123" i="5" s="1"/>
  <c r="H92" i="5"/>
  <c r="D91" i="5"/>
  <c r="D120" i="5" s="1"/>
  <c r="H89" i="5"/>
  <c r="D88" i="5"/>
  <c r="D117" i="5" s="1"/>
  <c r="H86" i="5"/>
  <c r="D85" i="5"/>
  <c r="D114" i="5" s="1"/>
  <c r="H83" i="5"/>
  <c r="H112" i="5" s="1"/>
  <c r="D82" i="5"/>
  <c r="D111" i="5" s="1"/>
  <c r="H80" i="5"/>
  <c r="H109" i="5" s="1"/>
  <c r="D79" i="5"/>
  <c r="D108" i="5" s="1"/>
  <c r="G101" i="5"/>
  <c r="G130" i="5" s="1"/>
  <c r="C100" i="5"/>
  <c r="C129" i="5" s="1"/>
  <c r="G98" i="5"/>
  <c r="G127" i="5" s="1"/>
  <c r="C97" i="5"/>
  <c r="C126" i="5" s="1"/>
  <c r="G95" i="5"/>
  <c r="G124" i="5" s="1"/>
  <c r="C94" i="5"/>
  <c r="C123" i="5" s="1"/>
  <c r="G92" i="5"/>
  <c r="G121" i="5" s="1"/>
  <c r="C91" i="5"/>
  <c r="C120" i="5" s="1"/>
  <c r="G89" i="5"/>
  <c r="G118" i="5" s="1"/>
  <c r="C88" i="5"/>
  <c r="C117" i="5" s="1"/>
  <c r="G86" i="5"/>
  <c r="G115" i="5" s="1"/>
  <c r="C85" i="5"/>
  <c r="C114" i="5" s="1"/>
  <c r="G83" i="5"/>
  <c r="G112" i="5" s="1"/>
  <c r="C82" i="5"/>
  <c r="C111" i="5" s="1"/>
  <c r="G80" i="5"/>
  <c r="G109" i="5" s="1"/>
  <c r="C79" i="5"/>
  <c r="C108" i="5" s="1"/>
  <c r="C78" i="5"/>
  <c r="F101" i="5"/>
  <c r="F130" i="5" s="1"/>
  <c r="J99" i="5"/>
  <c r="F98" i="5"/>
  <c r="F127" i="5" s="1"/>
  <c r="J96" i="5"/>
  <c r="F95" i="5"/>
  <c r="F124" i="5" s="1"/>
  <c r="J93" i="5"/>
  <c r="F92" i="5"/>
  <c r="F121" i="5" s="1"/>
  <c r="J90" i="5"/>
  <c r="F89" i="5"/>
  <c r="F118" i="5" s="1"/>
  <c r="J87" i="5"/>
  <c r="F86" i="5"/>
  <c r="F115" i="5" s="1"/>
  <c r="J84" i="5"/>
  <c r="F83" i="5"/>
  <c r="F112" i="5" s="1"/>
  <c r="J81" i="5"/>
  <c r="F80" i="5"/>
  <c r="F109" i="5" s="1"/>
  <c r="J78" i="5"/>
  <c r="J107" i="5" s="1"/>
  <c r="K136" i="5" s="1" a="1"/>
  <c r="K136" i="5" s="1"/>
  <c r="E101" i="5"/>
  <c r="E130" i="5" s="1"/>
  <c r="I99" i="5"/>
  <c r="E98" i="5"/>
  <c r="E127" i="5" s="1"/>
  <c r="I96" i="5"/>
  <c r="E95" i="5"/>
  <c r="E124" i="5" s="1"/>
  <c r="I93" i="5"/>
  <c r="E92" i="5"/>
  <c r="E121" i="5" s="1"/>
  <c r="I90" i="5"/>
  <c r="E89" i="5"/>
  <c r="E118" i="5" s="1"/>
  <c r="I87" i="5"/>
  <c r="E86" i="5"/>
  <c r="E115" i="5" s="1"/>
  <c r="I84" i="5"/>
  <c r="E83" i="5"/>
  <c r="E112" i="5" s="1"/>
  <c r="I81" i="5"/>
  <c r="I110" i="5" s="1"/>
  <c r="E80" i="5"/>
  <c r="E109" i="5" s="1"/>
  <c r="I78" i="5"/>
  <c r="I107" i="5" s="1"/>
  <c r="D101" i="5"/>
  <c r="D130" i="5" s="1"/>
  <c r="H99" i="5"/>
  <c r="H128" i="5" s="1"/>
  <c r="D98" i="5"/>
  <c r="D127" i="5" s="1"/>
  <c r="H96" i="5"/>
  <c r="H125" i="5" s="1"/>
  <c r="D95" i="5"/>
  <c r="D124" i="5" s="1"/>
  <c r="H93" i="5"/>
  <c r="H122" i="5" s="1"/>
  <c r="D92" i="5"/>
  <c r="D121" i="5" s="1"/>
  <c r="H90" i="5"/>
  <c r="D89" i="5"/>
  <c r="D118" i="5" s="1"/>
  <c r="H87" i="5"/>
  <c r="D86" i="5"/>
  <c r="D115" i="5" s="1"/>
  <c r="H84" i="5"/>
  <c r="H113" i="5" s="1"/>
  <c r="D83" i="5"/>
  <c r="D112" i="5" s="1"/>
  <c r="H81" i="5"/>
  <c r="H110" i="5" s="1"/>
  <c r="I139" i="5" l="1" a="1"/>
  <c r="I139" i="5" s="1"/>
  <c r="H138" i="5" a="1"/>
  <c r="H138" i="5" s="1"/>
  <c r="E145" i="5" a="1"/>
  <c r="E145" i="5" s="1"/>
  <c r="F139" i="5" a="1"/>
  <c r="F139" i="5" s="1"/>
  <c r="F157" i="5" a="1"/>
  <c r="F157" i="5" s="1"/>
  <c r="G151" i="5" a="1"/>
  <c r="G151" i="5" s="1"/>
  <c r="E141" i="5" a="1"/>
  <c r="E141" i="5" s="1"/>
  <c r="E159" i="5" a="1"/>
  <c r="E159" i="5" s="1"/>
  <c r="F153" i="5" a="1"/>
  <c r="F153" i="5" s="1"/>
  <c r="E152" i="5" a="1"/>
  <c r="E152" i="5" s="1"/>
  <c r="F146" i="5" a="1"/>
  <c r="F146" i="5" s="1"/>
  <c r="G140" i="5" a="1"/>
  <c r="G140" i="5" s="1"/>
  <c r="G158" i="5" a="1"/>
  <c r="G158" i="5" s="1"/>
  <c r="G153" i="5" a="1"/>
  <c r="G153" i="5" s="1"/>
  <c r="H119" i="5"/>
  <c r="G148" i="5" a="1"/>
  <c r="G148" i="5" s="1"/>
  <c r="E156" i="5" a="1"/>
  <c r="E156" i="5" s="1"/>
  <c r="F150" i="5" a="1"/>
  <c r="F150" i="5" s="1"/>
  <c r="G144" i="5" a="1"/>
  <c r="G144" i="5" s="1"/>
  <c r="E149" i="5" a="1"/>
  <c r="E149" i="5" s="1"/>
  <c r="F143" i="5" a="1"/>
  <c r="F143" i="5" s="1"/>
  <c r="G137" i="5" a="1"/>
  <c r="G137" i="5" s="1"/>
  <c r="G155" i="5" a="1"/>
  <c r="G155" i="5" s="1"/>
  <c r="J137" i="5" a="1"/>
  <c r="J137" i="5" s="1"/>
  <c r="E136" i="5" a="1"/>
  <c r="E136" i="5" s="1"/>
  <c r="E154" i="5" a="1"/>
  <c r="E154" i="5" s="1"/>
  <c r="F148" i="5" a="1"/>
  <c r="F148" i="5" s="1"/>
  <c r="G142" i="5" a="1"/>
  <c r="G142" i="5" s="1"/>
  <c r="H116" i="5"/>
  <c r="G145" i="5" a="1"/>
  <c r="G145" i="5" s="1"/>
  <c r="G141" i="5" a="1"/>
  <c r="G141" i="5" s="1"/>
  <c r="H121" i="5"/>
  <c r="J109" i="5"/>
  <c r="K138" i="5" s="1" a="1"/>
  <c r="K138" i="5" s="1"/>
  <c r="D26" i="6"/>
  <c r="H117" i="5"/>
  <c r="H146" i="5" s="1" a="1"/>
  <c r="H146" i="5" s="1"/>
  <c r="G150" i="5" a="1"/>
  <c r="G150" i="5" s="1"/>
  <c r="I138" i="5" a="1"/>
  <c r="I138" i="5" s="1"/>
  <c r="E151" i="5" a="1"/>
  <c r="E151" i="5" s="1"/>
  <c r="F145" i="5" a="1"/>
  <c r="F145" i="5" s="1"/>
  <c r="G139" i="5" a="1"/>
  <c r="G139" i="5" s="1"/>
  <c r="G157" i="5" a="1"/>
  <c r="G157" i="5" s="1"/>
  <c r="E147" i="5" a="1"/>
  <c r="E147" i="5" s="1"/>
  <c r="F141" i="5" a="1"/>
  <c r="F141" i="5" s="1"/>
  <c r="F159" i="5" a="1"/>
  <c r="F159" i="5" s="1"/>
  <c r="E140" i="5" a="1"/>
  <c r="E140" i="5" s="1"/>
  <c r="E158" i="5" a="1"/>
  <c r="E158" i="5" s="1"/>
  <c r="F152" i="5" a="1"/>
  <c r="F152" i="5" s="1"/>
  <c r="G146" i="5" a="1"/>
  <c r="G146" i="5" s="1"/>
  <c r="H140" i="5" a="1"/>
  <c r="H140" i="5" s="1"/>
  <c r="H130" i="5"/>
  <c r="E150" i="5" a="1"/>
  <c r="E150" i="5" s="1"/>
  <c r="F144" i="5" a="1"/>
  <c r="F144" i="5" s="1"/>
  <c r="E143" i="5" a="1"/>
  <c r="E143" i="5" s="1"/>
  <c r="F137" i="5" a="1"/>
  <c r="F137" i="5" s="1"/>
  <c r="F155" i="5" a="1"/>
  <c r="F155" i="5" s="1"/>
  <c r="G149" i="5" a="1"/>
  <c r="G149" i="5" s="1"/>
  <c r="H143" i="5" a="1"/>
  <c r="H143" i="5" s="1"/>
  <c r="I137" i="5" a="1"/>
  <c r="I137" i="5" s="1"/>
  <c r="H126" i="5"/>
  <c r="I126" i="5" s="1"/>
  <c r="G159" i="5" a="1"/>
  <c r="G159" i="5" s="1"/>
  <c r="E142" i="5" a="1"/>
  <c r="E142" i="5" s="1"/>
  <c r="F136" i="5" a="1"/>
  <c r="F136" i="5" s="1"/>
  <c r="F154" i="5" a="1"/>
  <c r="F154" i="5" s="1"/>
  <c r="I128" i="5"/>
  <c r="I157" i="5" s="1" a="1"/>
  <c r="I157" i="5" s="1"/>
  <c r="C146" i="5" a="1"/>
  <c r="C146" i="5" s="1"/>
  <c r="D146" i="5" a="1"/>
  <c r="D146" i="5" s="1"/>
  <c r="H123" i="5"/>
  <c r="C153" i="5" a="1"/>
  <c r="C153" i="5" s="1"/>
  <c r="D153" i="5" a="1"/>
  <c r="D153" i="5" s="1"/>
  <c r="C142" i="5" a="1"/>
  <c r="C142" i="5" s="1"/>
  <c r="D142" i="5" a="1"/>
  <c r="D142" i="5" s="1"/>
  <c r="H154" i="5" a="1"/>
  <c r="H154" i="5" s="1"/>
  <c r="C138" i="5" a="1"/>
  <c r="C138" i="5" s="1"/>
  <c r="D138" i="5" a="1"/>
  <c r="D138" i="5" s="1"/>
  <c r="C156" i="5" a="1"/>
  <c r="C156" i="5" s="1"/>
  <c r="D156" i="5" a="1"/>
  <c r="D156" i="5" s="1"/>
  <c r="I119" i="5"/>
  <c r="I148" i="5" s="1" a="1"/>
  <c r="I148" i="5" s="1"/>
  <c r="I122" i="5"/>
  <c r="I151" i="5" s="1" a="1"/>
  <c r="I151" i="5" s="1"/>
  <c r="J110" i="5"/>
  <c r="K139" i="5" s="1" a="1"/>
  <c r="K139" i="5" s="1"/>
  <c r="H150" i="5" a="1"/>
  <c r="H150" i="5" s="1"/>
  <c r="H115" i="5"/>
  <c r="H144" i="5" s="1" a="1"/>
  <c r="H144" i="5" s="1"/>
  <c r="J138" i="5" a="1"/>
  <c r="J138" i="5" s="1"/>
  <c r="C145" i="5" a="1"/>
  <c r="C145" i="5" s="1"/>
  <c r="D145" i="5" a="1"/>
  <c r="D145" i="5" s="1"/>
  <c r="E139" i="5" a="1"/>
  <c r="E139" i="5" s="1"/>
  <c r="E157" i="5" a="1"/>
  <c r="E157" i="5" s="1"/>
  <c r="F151" i="5" a="1"/>
  <c r="F151" i="5" s="1"/>
  <c r="H139" i="5" a="1"/>
  <c r="H139" i="5" s="1"/>
  <c r="H157" i="5" a="1"/>
  <c r="H157" i="5" s="1"/>
  <c r="I112" i="5"/>
  <c r="I141" i="5" s="1" a="1"/>
  <c r="I141" i="5" s="1"/>
  <c r="G138" i="5" a="1"/>
  <c r="G138" i="5" s="1"/>
  <c r="E153" i="5" a="1"/>
  <c r="E153" i="5" s="1"/>
  <c r="F147" i="5" a="1"/>
  <c r="F147" i="5" s="1"/>
  <c r="C152" i="5" a="1"/>
  <c r="C152" i="5" s="1"/>
  <c r="D152" i="5" a="1"/>
  <c r="D152" i="5" s="1"/>
  <c r="E146" i="5" a="1"/>
  <c r="E146" i="5" s="1"/>
  <c r="F140" i="5" a="1"/>
  <c r="F140" i="5" s="1"/>
  <c r="F158" i="5" a="1"/>
  <c r="F158" i="5" s="1"/>
  <c r="G152" i="5" a="1"/>
  <c r="G152" i="5" s="1"/>
  <c r="I111" i="5"/>
  <c r="I140" i="5" s="1" a="1"/>
  <c r="I140" i="5" s="1"/>
  <c r="H129" i="5"/>
  <c r="C141" i="5" a="1"/>
  <c r="C141" i="5" s="1"/>
  <c r="D141" i="5" a="1"/>
  <c r="D141" i="5" s="1"/>
  <c r="D159" i="5" a="1"/>
  <c r="D159" i="5" s="1"/>
  <c r="C159" i="5" a="1"/>
  <c r="C159" i="5" s="1"/>
  <c r="I130" i="5"/>
  <c r="I159" i="5" s="1" a="1"/>
  <c r="I159" i="5" s="1"/>
  <c r="G156" i="5" a="1"/>
  <c r="G156" i="5" s="1"/>
  <c r="I125" i="5"/>
  <c r="I154" i="5" s="1" a="1"/>
  <c r="I154" i="5" s="1"/>
  <c r="C107" i="5"/>
  <c r="H118" i="5"/>
  <c r="H147" i="5" s="1" a="1"/>
  <c r="H147" i="5" s="1"/>
  <c r="C148" i="5" a="1"/>
  <c r="C148" i="5" s="1"/>
  <c r="D148" i="5" a="1"/>
  <c r="D148" i="5" s="1"/>
  <c r="H142" i="5" a="1"/>
  <c r="H142" i="5" s="1"/>
  <c r="I136" i="5" a="1"/>
  <c r="I136" i="5" s="1"/>
  <c r="C149" i="5" a="1"/>
  <c r="C149" i="5" s="1"/>
  <c r="D149" i="5" a="1"/>
  <c r="D149" i="5" s="1"/>
  <c r="C137" i="5" a="1"/>
  <c r="C137" i="5" s="1"/>
  <c r="D137" i="5" a="1"/>
  <c r="D137" i="5" s="1"/>
  <c r="D155" i="5" a="1"/>
  <c r="D155" i="5" s="1"/>
  <c r="C155" i="5" a="1"/>
  <c r="C155" i="5" s="1"/>
  <c r="I114" i="5"/>
  <c r="I143" i="5" s="1" a="1"/>
  <c r="I143" i="5" s="1"/>
  <c r="C144" i="5" a="1"/>
  <c r="C144" i="5" s="1"/>
  <c r="D144" i="5" a="1"/>
  <c r="D144" i="5" s="1"/>
  <c r="D151" i="5" a="1"/>
  <c r="D151" i="5" s="1"/>
  <c r="C151" i="5" a="1"/>
  <c r="C151" i="5" s="1"/>
  <c r="H145" i="5" a="1"/>
  <c r="H145" i="5" s="1"/>
  <c r="H152" i="5" a="1"/>
  <c r="H152" i="5" s="1"/>
  <c r="D147" i="5" a="1"/>
  <c r="D147" i="5" s="1"/>
  <c r="C147" i="5" a="1"/>
  <c r="C147" i="5" s="1"/>
  <c r="C158" i="5" a="1"/>
  <c r="C158" i="5" s="1"/>
  <c r="D158" i="5" a="1"/>
  <c r="D158" i="5" s="1"/>
  <c r="I113" i="5"/>
  <c r="I142" i="5" s="1" a="1"/>
  <c r="I142" i="5" s="1"/>
  <c r="J136" i="5" a="1"/>
  <c r="J136" i="5" s="1"/>
  <c r="H141" i="5" a="1"/>
  <c r="H141" i="5" s="1"/>
  <c r="H159" i="5" a="1"/>
  <c r="H159" i="5" s="1"/>
  <c r="H124" i="5"/>
  <c r="C154" i="5" a="1"/>
  <c r="C154" i="5" s="1"/>
  <c r="D154" i="5" a="1"/>
  <c r="D154" i="5" s="1"/>
  <c r="E148" i="5" a="1"/>
  <c r="E148" i="5" s="1"/>
  <c r="F142" i="5" a="1"/>
  <c r="F142" i="5" s="1"/>
  <c r="G136" i="5" a="1"/>
  <c r="G136" i="5" s="1"/>
  <c r="G154" i="5" a="1"/>
  <c r="G154" i="5" s="1"/>
  <c r="H148" i="5" a="1"/>
  <c r="H148" i="5" s="1"/>
  <c r="G147" i="5" a="1"/>
  <c r="G147" i="5" s="1"/>
  <c r="E144" i="5" a="1"/>
  <c r="E144" i="5" s="1"/>
  <c r="F138" i="5" a="1"/>
  <c r="F138" i="5" s="1"/>
  <c r="F156" i="5" a="1"/>
  <c r="F156" i="5" s="1"/>
  <c r="D143" i="5" a="1"/>
  <c r="D143" i="5" s="1"/>
  <c r="C143" i="5" a="1"/>
  <c r="C143" i="5" s="1"/>
  <c r="E137" i="5" a="1"/>
  <c r="E137" i="5" s="1"/>
  <c r="E155" i="5" a="1"/>
  <c r="E155" i="5" s="1"/>
  <c r="F149" i="5" a="1"/>
  <c r="F149" i="5" s="1"/>
  <c r="G143" i="5" a="1"/>
  <c r="G143" i="5" s="1"/>
  <c r="H137" i="5" a="1"/>
  <c r="H137" i="5" s="1"/>
  <c r="H120" i="5"/>
  <c r="C150" i="5" a="1"/>
  <c r="C150" i="5" s="1"/>
  <c r="D150" i="5" a="1"/>
  <c r="D150" i="5" s="1"/>
  <c r="C140" i="5" a="1"/>
  <c r="C140" i="5" s="1"/>
  <c r="D140" i="5" a="1"/>
  <c r="D140" i="5" s="1"/>
  <c r="I116" i="5"/>
  <c r="I145" i="5" s="1" a="1"/>
  <c r="I145" i="5" s="1"/>
  <c r="H127" i="5"/>
  <c r="H156" i="5" s="1" a="1"/>
  <c r="H156" i="5" s="1"/>
  <c r="C139" i="5" a="1"/>
  <c r="C139" i="5" s="1"/>
  <c r="D139" i="5" a="1"/>
  <c r="D139" i="5" s="1"/>
  <c r="C157" i="5" a="1"/>
  <c r="C157" i="5" s="1"/>
  <c r="D157" i="5" a="1"/>
  <c r="D157" i="5" s="1"/>
  <c r="H151" i="5" a="1"/>
  <c r="H151" i="5" s="1"/>
  <c r="E138" i="5" a="1"/>
  <c r="E138" i="5" s="1"/>
  <c r="I121" i="5" l="1"/>
  <c r="I150" i="5" s="1" a="1"/>
  <c r="I150" i="5" s="1"/>
  <c r="H155" i="5" a="1"/>
  <c r="H155" i="5" s="1"/>
  <c r="I155" i="5" a="1"/>
  <c r="I155" i="5" s="1"/>
  <c r="I117" i="5"/>
  <c r="I146" i="5" s="1" a="1"/>
  <c r="I146" i="5" s="1"/>
  <c r="J139" i="5" a="1"/>
  <c r="J139" i="5" s="1"/>
  <c r="I124" i="5"/>
  <c r="I153" i="5" a="1"/>
  <c r="I153" i="5" s="1"/>
  <c r="I129" i="5"/>
  <c r="I158" i="5" s="1" a="1"/>
  <c r="I158" i="5" s="1"/>
  <c r="L137" i="5"/>
  <c r="D8" i="6" s="1"/>
  <c r="C136" i="5" a="1"/>
  <c r="C136" i="5" s="1"/>
  <c r="D136" i="5" a="1"/>
  <c r="D136" i="5" s="1"/>
  <c r="J111" i="5"/>
  <c r="K140" i="5" s="1" a="1"/>
  <c r="K140" i="5" s="1"/>
  <c r="J112" i="5"/>
  <c r="K141" i="5" s="1" a="1"/>
  <c r="K141" i="5" s="1"/>
  <c r="I120" i="5"/>
  <c r="I149" i="5" a="1"/>
  <c r="I149" i="5" s="1"/>
  <c r="J122" i="5"/>
  <c r="K151" i="5" s="1" a="1"/>
  <c r="K151" i="5" s="1"/>
  <c r="J151" i="5" a="1"/>
  <c r="J151" i="5" s="1"/>
  <c r="L151" i="5" s="1"/>
  <c r="J125" i="5"/>
  <c r="K154" i="5" s="1" a="1"/>
  <c r="K154" i="5" s="1"/>
  <c r="L139" i="5"/>
  <c r="D11" i="6" s="1"/>
  <c r="J113" i="5"/>
  <c r="K142" i="5" s="1" a="1"/>
  <c r="K142" i="5" s="1"/>
  <c r="J142" i="5" a="1"/>
  <c r="J142" i="5" s="1"/>
  <c r="J121" i="5"/>
  <c r="K150" i="5" s="1" a="1"/>
  <c r="K150" i="5" s="1"/>
  <c r="J119" i="5"/>
  <c r="K148" i="5" s="1" a="1"/>
  <c r="K148" i="5" s="1"/>
  <c r="I127" i="5"/>
  <c r="I156" i="5" s="1" a="1"/>
  <c r="I156" i="5" s="1"/>
  <c r="I123" i="5"/>
  <c r="I152" i="5" s="1" a="1"/>
  <c r="I152" i="5" s="1"/>
  <c r="J130" i="5"/>
  <c r="K159" i="5" s="1" a="1"/>
  <c r="K159" i="5" s="1"/>
  <c r="H158" i="5" a="1"/>
  <c r="H158" i="5" s="1"/>
  <c r="J114" i="5"/>
  <c r="K143" i="5" s="1" a="1"/>
  <c r="K143" i="5" s="1"/>
  <c r="J143" i="5" a="1"/>
  <c r="J143" i="5" s="1"/>
  <c r="L143" i="5" s="1"/>
  <c r="D13" i="6" s="1"/>
  <c r="I118" i="5"/>
  <c r="I147" i="5" a="1"/>
  <c r="I147" i="5" s="1"/>
  <c r="L138" i="5"/>
  <c r="D10" i="6" s="1"/>
  <c r="J116" i="5"/>
  <c r="K145" i="5" s="1" a="1"/>
  <c r="K145" i="5" s="1"/>
  <c r="H149" i="5" a="1"/>
  <c r="H149" i="5" s="1"/>
  <c r="H153" i="5" a="1"/>
  <c r="H153" i="5" s="1"/>
  <c r="J117" i="5"/>
  <c r="K146" i="5" s="1" a="1"/>
  <c r="K146" i="5" s="1"/>
  <c r="J146" i="5" a="1"/>
  <c r="J146" i="5" s="1"/>
  <c r="I115" i="5"/>
  <c r="I144" i="5" s="1" a="1"/>
  <c r="I144" i="5" s="1"/>
  <c r="J126" i="5"/>
  <c r="K155" i="5" s="1" a="1"/>
  <c r="K155" i="5" s="1"/>
  <c r="J155" i="5" a="1"/>
  <c r="J155" i="5" s="1"/>
  <c r="L155" i="5" s="1"/>
  <c r="J128" i="5"/>
  <c r="K157" i="5" s="1" a="1"/>
  <c r="K157" i="5" s="1"/>
  <c r="J159" i="5" l="1" a="1"/>
  <c r="J159" i="5" s="1"/>
  <c r="L159" i="5" s="1"/>
  <c r="J157" i="5" a="1"/>
  <c r="J157" i="5" s="1"/>
  <c r="L142" i="5"/>
  <c r="D14" i="6" s="1"/>
  <c r="L146" i="5"/>
  <c r="J154" i="5" a="1"/>
  <c r="J154" i="5" s="1"/>
  <c r="L154" i="5" s="1"/>
  <c r="J150" i="5" a="1"/>
  <c r="J150" i="5" s="1"/>
  <c r="L150" i="5" s="1"/>
  <c r="J140" i="5" a="1"/>
  <c r="J140" i="5" s="1"/>
  <c r="L140" i="5" s="1"/>
  <c r="D12" i="6" s="1"/>
  <c r="J148" i="5" a="1"/>
  <c r="J148" i="5" s="1"/>
  <c r="L148" i="5" s="1"/>
  <c r="L157" i="5"/>
  <c r="J118" i="5"/>
  <c r="K147" i="5" s="1" a="1"/>
  <c r="K147" i="5" s="1"/>
  <c r="L136" i="5"/>
  <c r="J123" i="5"/>
  <c r="K152" i="5" s="1" a="1"/>
  <c r="K152" i="5" s="1"/>
  <c r="J145" i="5" a="1"/>
  <c r="J145" i="5" s="1"/>
  <c r="L145" i="5" s="1"/>
  <c r="J120" i="5"/>
  <c r="K149" i="5" s="1" a="1"/>
  <c r="K149" i="5" s="1"/>
  <c r="J129" i="5"/>
  <c r="K158" i="5" s="1" a="1"/>
  <c r="K158" i="5" s="1"/>
  <c r="J158" i="5" a="1"/>
  <c r="J158" i="5" s="1"/>
  <c r="J127" i="5"/>
  <c r="K156" i="5" s="1" a="1"/>
  <c r="K156" i="5" s="1"/>
  <c r="J156" i="5" a="1"/>
  <c r="J156" i="5" s="1"/>
  <c r="L156" i="5" s="1"/>
  <c r="J115" i="5"/>
  <c r="K144" i="5" s="1" a="1"/>
  <c r="K144" i="5" s="1"/>
  <c r="J144" i="5" a="1"/>
  <c r="J144" i="5" s="1"/>
  <c r="J124" i="5"/>
  <c r="K153" i="5" s="1" a="1"/>
  <c r="K153" i="5" s="1"/>
  <c r="J153" i="5" a="1"/>
  <c r="J153" i="5" s="1"/>
  <c r="L153" i="5" s="1"/>
  <c r="J141" i="5" a="1"/>
  <c r="J141" i="5" s="1"/>
  <c r="L141" i="5" s="1"/>
  <c r="J147" i="5" l="1" a="1"/>
  <c r="J147" i="5" s="1"/>
  <c r="J152" i="5" a="1"/>
  <c r="J152" i="5" s="1"/>
  <c r="L152" i="5"/>
  <c r="L144" i="5"/>
  <c r="L147" i="5"/>
  <c r="J149" i="5" a="1"/>
  <c r="J149" i="5" s="1"/>
  <c r="L149" i="5" s="1"/>
  <c r="L158" i="5"/>
  <c r="D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<sst xmlns="http://schemas.openxmlformats.org/spreadsheetml/2006/main" count="713" uniqueCount="73">
  <si>
    <t>Red Creek</t>
  </si>
  <si>
    <t>Dome Rock</t>
  </si>
  <si>
    <t>Orange Grove</t>
  </si>
  <si>
    <t>Lemon Field</t>
  </si>
  <si>
    <t>Sunken Hill</t>
  </si>
  <si>
    <t>Falken Woods</t>
  </si>
  <si>
    <t>Mulhalla Falls</t>
  </si>
  <si>
    <t>Matier Range</t>
  </si>
  <si>
    <t>Lake Guideon</t>
  </si>
  <si>
    <t>Clarkson Town</t>
  </si>
  <si>
    <t>Cronberg Gorge</t>
  </si>
  <si>
    <t>Boiling Pools</t>
  </si>
  <si>
    <t>Finals</t>
  </si>
  <si>
    <t>Round 1</t>
  </si>
  <si>
    <t>Round 2</t>
  </si>
  <si>
    <t>Round 3</t>
  </si>
  <si>
    <t>Round 4</t>
  </si>
  <si>
    <t>Semi-Finals</t>
  </si>
  <si>
    <t>Quarter-Finals</t>
  </si>
  <si>
    <t>Participantes</t>
  </si>
  <si>
    <t>Puntos de Inicio</t>
  </si>
  <si>
    <t xml:space="preserve">Ubicaciones </t>
  </si>
  <si>
    <t>Viajes ($ de transportación)</t>
  </si>
  <si>
    <t>Competidora 1</t>
  </si>
  <si>
    <t>Competidora 2</t>
  </si>
  <si>
    <t>Fecha</t>
  </si>
  <si>
    <t>Ubicación</t>
  </si>
  <si>
    <t>Ronda</t>
  </si>
  <si>
    <t>Total</t>
  </si>
  <si>
    <t>Meda Maddix</t>
  </si>
  <si>
    <t>Costos totales de transporte para el torneo</t>
  </si>
  <si>
    <t>Costo totales de los favoritos</t>
  </si>
  <si>
    <t>Costos Totales de los principales lugares</t>
  </si>
  <si>
    <t>Costos totales de transporte si empezamos en Orange Grove</t>
  </si>
  <si>
    <t>Lugar</t>
  </si>
  <si>
    <t># de Juego para comp 1</t>
  </si>
  <si>
    <t># de Juego para comp 2</t>
  </si>
  <si>
    <t># de Lugar</t>
  </si>
  <si>
    <t>Inicio</t>
  </si>
  <si>
    <t>Fin</t>
  </si>
  <si>
    <t>Final</t>
  </si>
  <si>
    <t>Clarkson  Town</t>
  </si>
  <si>
    <t>Gaynell Lehrman</t>
  </si>
  <si>
    <t>Keri Wetzel</t>
  </si>
  <si>
    <t>Shaunte Osorio</t>
  </si>
  <si>
    <t>Ivana Hage</t>
  </si>
  <si>
    <t>Shavonda Spooner</t>
  </si>
  <si>
    <t>Bette Priddy</t>
  </si>
  <si>
    <t>Paulina Mckinny</t>
  </si>
  <si>
    <t>Sulema Hyre</t>
  </si>
  <si>
    <t>Christin Gladding</t>
  </si>
  <si>
    <t>Ivelisse Ellenwood</t>
  </si>
  <si>
    <t>Senaida Glanz</t>
  </si>
  <si>
    <t>Ute Volpe</t>
  </si>
  <si>
    <t>Tiana Munoz</t>
  </si>
  <si>
    <t>Simona Baumeister</t>
  </si>
  <si>
    <t>Emmie Baugher</t>
  </si>
  <si>
    <t>Dorthey Magruder</t>
  </si>
  <si>
    <t>Katharina Housman</t>
  </si>
  <si>
    <t>Lue Rocheleau</t>
  </si>
  <si>
    <t>Jenniffer Berumen</t>
  </si>
  <si>
    <t>Lashanda Pangborn</t>
  </si>
  <si>
    <t>Amal Bunt</t>
  </si>
  <si>
    <t>Taisha Kauppi</t>
  </si>
  <si>
    <t>Marylynn Emmer</t>
  </si>
  <si>
    <t>Numero.</t>
  </si>
  <si>
    <t>Costos de Transporte por Ronda – Orange Grove</t>
  </si>
  <si>
    <t>Costos de Transporte por Ronda – Clarkson Town</t>
  </si>
  <si>
    <t>Preguntas contestadas.</t>
  </si>
  <si>
    <t>Ubicación Final de Competidores Por Ronda – Clarkson Town</t>
  </si>
  <si>
    <t>Progresión de Competidores Por Ronda</t>
  </si>
  <si>
    <t>Ubicación Final de Competidores Por Ronda – Orange Grove</t>
  </si>
  <si>
    <t>Conteo de Juegos y Ubicación por Competidor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</si>
</sst>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164" formatCode="_-&quot;$&quot;* #,##0_-;\-&quot;$&quot;* #,##0_-;_-&quot;$&quot;* &quot;-&quot;??_-;_-@_-"/>
    <numFmt numFmtId="165" formatCode="&quot;$&quot;#,##0.00_);[Red]\(&quot;$&quot;#,##0.00\)"/>
    <numFmt numFmtId="166" formatCode="_(* #,##0_);_(* \(#,##0\);_(* &quot;-&quot;_);_(@_)"/>
    <numFmt numFmtId="167" formatCode="&quot;$&quot;#,##0.00"/>
  </numFmts>
  <fonts count="21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 Light"/>
      <family val="2"/>
      <scheme val="major"/>
    </font>
    <font>
      <sz val="16"/>
      <color theme="1"/>
      <name val="Segoe UI Light"/>
      <family val="2"/>
    </font>
    <font>
      <sz val="14"/>
      <color theme="0"/>
      <name val="Franklin Gothic Demi Cond"/>
      <family val="2"/>
    </font>
    <font>
      <b/>
      <sz val="14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theme="0"/>
      <name val="Arial"/>
      <family val="2"/>
    </font>
    <font>
      <b/>
      <sz val="14"/>
      <color rgb="FFED1C24"/>
      <name val="Arial"/>
      <family val="2"/>
    </font>
    <font>
      <i/>
      <sz val="11"/>
      <color theme="0" tint="-0.34998626667073579"/>
      <name val="Arial"/>
      <family val="2"/>
    </font>
    <font>
      <sz val="11"/>
      <color theme="9" tint="-0.499984740745262"/>
      <name val="Arial"/>
      <family val="2"/>
    </font>
    <font>
      <sz val="11"/>
      <color rgb="FF996633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6"/>
      <color theme="1"/>
      <name val="Segoe UI Light"/>
      <family val="2"/>
    </font>
    <font>
      <b/>
      <sz val="16"/>
      <color theme="1"/>
      <name val="Segoe UI Black"/>
      <family val="2"/>
    </font>
  </fonts>
  <fills count="1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rgb="FF996633"/>
      </left>
      <right style="thin">
        <color rgb="FF996633"/>
      </right>
      <top style="thin">
        <color rgb="FF996633"/>
      </top>
      <bottom style="thin">
        <color rgb="FF996633"/>
      </bottom>
      <diagonal/>
    </border>
  </borders>
  <cellStyleXfs count="17">
    <xf numFmtId="0" fontId="0" fillId="0" borderId="0"/>
    <xf numFmtId="44" fontId="3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  <xf numFmtId="0" fontId="5" fillId="5" borderId="0" applyNumberFormat="0" applyBorder="0" applyAlignment="0" applyProtection="0"/>
    <xf numFmtId="44" fontId="2" fillId="0" borderId="0" applyFont="0" applyFill="0" applyBorder="0" applyAlignment="0" applyProtection="0"/>
    <xf numFmtId="0" fontId="2" fillId="4" borderId="0" applyNumberFormat="0" applyBorder="0" applyAlignment="0" applyProtection="0"/>
    <xf numFmtId="0" fontId="1" fillId="0" borderId="0"/>
    <xf numFmtId="0" fontId="12" fillId="6" borderId="1" applyNumberFormat="0">
      <alignment horizontal="center"/>
    </xf>
    <xf numFmtId="0" fontId="13" fillId="0" borderId="0" applyNumberFormat="0" applyProtection="0"/>
    <xf numFmtId="0" fontId="14" fillId="0" borderId="0" applyNumberFormat="0"/>
    <xf numFmtId="0" fontId="15" fillId="7" borderId="20" applyNumberFormat="0"/>
    <xf numFmtId="166" fontId="11" fillId="0" borderId="0" applyFont="0" applyFill="0" applyBorder="0" applyAlignment="0" applyProtection="0"/>
    <xf numFmtId="0" fontId="16" fillId="8" borderId="21" applyNumberFormat="0"/>
    <xf numFmtId="0" fontId="17" fillId="0" borderId="0" applyNumberFormat="0" applyBorder="0"/>
    <xf numFmtId="0" fontId="18" fillId="9" borderId="1" applyNumberFormat="0"/>
  </cellStyleXfs>
  <cellXfs count="40">
    <xf numFmtId="0" fontId="0" fillId="0" borderId="0" xfId="0"/>
    <xf numFmtId="0" fontId="6" fillId="3" borderId="0" xfId="3" applyFont="1"/>
    <xf numFmtId="164" fontId="0" fillId="0" borderId="0" xfId="1" applyNumberFormat="1" applyFont="1"/>
    <xf numFmtId="164" fontId="4" fillId="2" borderId="0" xfId="2" applyNumberFormat="1"/>
    <xf numFmtId="44" fontId="4" fillId="2" borderId="0" xfId="2" applyNumberFormat="1"/>
    <xf numFmtId="0" fontId="3" fillId="4" borderId="0" xfId="4"/>
    <xf numFmtId="164" fontId="3" fillId="4" borderId="0" xfId="4" applyNumberFormat="1"/>
    <xf numFmtId="44" fontId="3" fillId="4" borderId="0" xfId="4" applyNumberFormat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5" xfId="0" applyFont="1" applyBorder="1"/>
    <xf numFmtId="0" fontId="7" fillId="0" borderId="14" xfId="0" applyFont="1" applyBorder="1"/>
    <xf numFmtId="0" fontId="7" fillId="0" borderId="15" xfId="0" applyFont="1" applyBorder="1"/>
    <xf numFmtId="0" fontId="7" fillId="0" borderId="16" xfId="0" applyFont="1" applyBorder="1"/>
    <xf numFmtId="0" fontId="7" fillId="0" borderId="9" xfId="0" applyFont="1" applyBorder="1"/>
    <xf numFmtId="15" fontId="7" fillId="0" borderId="9" xfId="0" applyNumberFormat="1" applyFont="1" applyBorder="1"/>
    <xf numFmtId="0" fontId="7" fillId="0" borderId="10" xfId="0" applyFont="1" applyBorder="1" applyAlignment="1">
      <alignment horizontal="left"/>
    </xf>
    <xf numFmtId="0" fontId="7" fillId="0" borderId="1" xfId="0" applyFont="1" applyBorder="1"/>
    <xf numFmtId="15" fontId="7" fillId="0" borderId="1" xfId="0" applyNumberFormat="1" applyFont="1" applyBorder="1"/>
    <xf numFmtId="0" fontId="7" fillId="0" borderId="11" xfId="0" applyFont="1" applyBorder="1" applyAlignment="1">
      <alignment horizontal="left"/>
    </xf>
    <xf numFmtId="0" fontId="7" fillId="0" borderId="12" xfId="0" applyFont="1" applyBorder="1"/>
    <xf numFmtId="15" fontId="7" fillId="0" borderId="12" xfId="0" applyNumberFormat="1" applyFont="1" applyBorder="1"/>
    <xf numFmtId="0" fontId="7" fillId="0" borderId="13" xfId="0" applyFont="1" applyBorder="1" applyAlignment="1">
      <alignment horizontal="left"/>
    </xf>
    <xf numFmtId="0" fontId="8" fillId="0" borderId="0" xfId="0" applyFont="1"/>
    <xf numFmtId="0" fontId="7" fillId="0" borderId="17" xfId="0" applyFont="1" applyBorder="1"/>
    <xf numFmtId="0" fontId="7" fillId="0" borderId="18" xfId="0" applyFont="1" applyBorder="1"/>
    <xf numFmtId="0" fontId="7" fillId="0" borderId="19" xfId="0" applyFont="1" applyBorder="1"/>
    <xf numFmtId="167" fontId="0" fillId="0" borderId="0" xfId="1" applyNumberFormat="1" applyFont="1"/>
    <xf numFmtId="0" fontId="0" fillId="0" borderId="0" xfId="0" applyAlignment="1">
      <alignment vertical="center"/>
    </xf>
    <xf numFmtId="165" fontId="10" fillId="10" borderId="0" xfId="5" applyNumberFormat="1" applyFont="1" applyFill="1"/>
    <xf numFmtId="0" fontId="9" fillId="10" borderId="0" xfId="5" applyFont="1" applyFill="1"/>
    <xf numFmtId="165" fontId="10" fillId="11" borderId="0" xfId="5" applyNumberFormat="1" applyFont="1" applyFill="1"/>
    <xf numFmtId="0" fontId="9" fillId="11" borderId="0" xfId="5" applyFont="1" applyFill="1"/>
    <xf numFmtId="0" fontId="19" fillId="0" borderId="0" xfId="0" applyFont="1"/>
    <xf numFmtId="0" fontId="6" fillId="3" borderId="0" xfId="3" applyFont="1" applyAlignment="1">
      <alignment horizontal="center"/>
    </xf>
    <xf numFmtId="0" fontId="20" fillId="0" borderId="0" xfId="0" applyFont="1"/>
  </cellXfs>
  <cellStyles count="17">
    <cellStyle name="20% - Énfasis3" xfId="4" builtinId="38"/>
    <cellStyle name="20% - Énfasis3 2" xfId="7" xr:uid="{255136F3-2A03-4384-A408-D9D9A2F3A88D}"/>
    <cellStyle name="Demo" xfId="14" xr:uid="{403A0370-141F-41B8-8E83-C1B9329590AA}"/>
    <cellStyle name="Énfasis1" xfId="3" builtinId="29"/>
    <cellStyle name="Énfasis2" xfId="5" builtinId="33"/>
    <cellStyle name="Header1" xfId="10" xr:uid="{F99D3948-09E0-465F-830F-85AF9F931BEF}"/>
    <cellStyle name="Header2" xfId="15" xr:uid="{95E1F1C7-F44D-4DBD-BFE8-832BEA55F890}"/>
    <cellStyle name="Info" xfId="11" xr:uid="{8A4FAA2E-8A48-4C9C-924E-854904E343C1}"/>
    <cellStyle name="LineSummary" xfId="16" xr:uid="{A24F7CF4-F99D-4B13-BA1B-A565A197EA5C}"/>
    <cellStyle name="Millares [0] 2" xfId="13" xr:uid="{5B17F041-4FBC-425F-B45C-5BFD11CD8AA1}"/>
    <cellStyle name="Moneda" xfId="1" builtinId="4"/>
    <cellStyle name="Moneda 2" xfId="6" xr:uid="{72383140-E280-476E-B9E3-17437EE24318}"/>
    <cellStyle name="Neutral" xfId="2" builtinId="28"/>
    <cellStyle name="Normal" xfId="0" builtinId="0"/>
    <cellStyle name="Normal 2" xfId="8" xr:uid="{308DCA8C-4327-4D0B-99DC-250B76A7888B}"/>
    <cellStyle name="Offsheet" xfId="12" xr:uid="{A1A697E9-549D-4469-BB61-82235EFD8501}"/>
    <cellStyle name="Table" xfId="9" xr:uid="{4E6666C0-FD1C-494E-9912-EEBC00C0BB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5C9A7-D10E-40F5-AC36-69F73BE339A0}">
  <dimension ref="A1:D26"/>
  <sheetViews>
    <sheetView showGridLines="0" tabSelected="1" zoomScale="160" zoomScaleNormal="160" workbookViewId="0">
      <selection activeCell="H20" sqref="H20"/>
    </sheetView>
  </sheetViews>
  <sheetFormatPr baseColWidth="10" defaultRowHeight="12.75" x14ac:dyDescent="0.2"/>
  <cols>
    <col min="1" max="4" width="24" customWidth="1"/>
  </cols>
  <sheetData>
    <row r="1" spans="1:4" ht="25.5" x14ac:dyDescent="0.5">
      <c r="A1" s="39" t="s">
        <v>68</v>
      </c>
    </row>
    <row r="3" spans="1:4" ht="18.75" x14ac:dyDescent="0.3">
      <c r="A3" s="32" t="s">
        <v>30</v>
      </c>
      <c r="D3" s="33">
        <f>SUM(Calculation_Engine!$L$136:$L$159)</f>
        <v>22587</v>
      </c>
    </row>
    <row r="7" spans="1:4" x14ac:dyDescent="0.2">
      <c r="A7" t="s">
        <v>31</v>
      </c>
    </row>
    <row r="8" spans="1:4" ht="18.75" x14ac:dyDescent="0.3">
      <c r="A8" t="s">
        <v>29</v>
      </c>
      <c r="D8" s="33">
        <f>SUMIF(Calculation_Engine!$A$136:$A$159,A8,Calculation_Engine!$L$136:$L$159)</f>
        <v>1682</v>
      </c>
    </row>
    <row r="9" spans="1:4" ht="18.75" x14ac:dyDescent="0.3">
      <c r="A9" t="s">
        <v>42</v>
      </c>
      <c r="D9" s="33">
        <f>SUMIF(Calculation_Engine!$A$136:$A$159,A9,Calculation_Engine!$L$136:$L$159)</f>
        <v>1130</v>
      </c>
    </row>
    <row r="10" spans="1:4" ht="18.75" x14ac:dyDescent="0.3">
      <c r="A10" t="s">
        <v>43</v>
      </c>
      <c r="D10" s="33">
        <f>SUMIF(Calculation_Engine!$A$136:$A$159,A10,Calculation_Engine!$L$136:$L$159)</f>
        <v>1375</v>
      </c>
    </row>
    <row r="11" spans="1:4" ht="18.75" x14ac:dyDescent="0.3">
      <c r="A11" t="s">
        <v>44</v>
      </c>
      <c r="D11" s="33">
        <f>SUMIF(Calculation_Engine!$A$136:$A$159,A11,Calculation_Engine!$L$136:$L$159)</f>
        <v>1414</v>
      </c>
    </row>
    <row r="12" spans="1:4" ht="18.75" x14ac:dyDescent="0.3">
      <c r="A12" t="s">
        <v>45</v>
      </c>
      <c r="D12" s="33">
        <f>SUMIF(Calculation_Engine!$A$136:$A$159,A12,Calculation_Engine!$L$136:$L$159)</f>
        <v>980</v>
      </c>
    </row>
    <row r="13" spans="1:4" ht="18.75" x14ac:dyDescent="0.3">
      <c r="A13" t="s">
        <v>48</v>
      </c>
      <c r="D13" s="33">
        <f>SUMIF(Calculation_Engine!$A$136:$A$159,A13,Calculation_Engine!$L$136:$L$159)</f>
        <v>1007</v>
      </c>
    </row>
    <row r="14" spans="1:4" ht="18.75" x14ac:dyDescent="0.3">
      <c r="A14" t="s">
        <v>47</v>
      </c>
      <c r="D14" s="33">
        <f>SUMIF(Calculation_Engine!$A$136:$A$159,A14,Calculation_Engine!$L$136:$L$159)</f>
        <v>1232</v>
      </c>
    </row>
    <row r="19" spans="1:4" x14ac:dyDescent="0.2">
      <c r="A19" t="s">
        <v>32</v>
      </c>
    </row>
    <row r="20" spans="1:4" ht="18.75" x14ac:dyDescent="0.3">
      <c r="A20" t="s">
        <v>6</v>
      </c>
      <c r="B20">
        <v>7</v>
      </c>
      <c r="D20" s="33">
        <f>SUMIF(Calculation_Engine!$C$106:$K$130,Executive_Summary!B20,Calculation_Engine!$C$135:$L$159)</f>
        <v>1701</v>
      </c>
    </row>
    <row r="21" spans="1:4" ht="18.75" x14ac:dyDescent="0.3">
      <c r="A21" t="s">
        <v>10</v>
      </c>
      <c r="B21">
        <v>6</v>
      </c>
      <c r="D21" s="33">
        <f>SUMIF(Calculation_Engine!$C$106:$K$130,Executive_Summary!B21,Calculation_Engine!$C$135:$L$159)</f>
        <v>1584</v>
      </c>
    </row>
    <row r="22" spans="1:4" ht="18.75" x14ac:dyDescent="0.3">
      <c r="A22" t="s">
        <v>5</v>
      </c>
      <c r="B22">
        <v>5</v>
      </c>
      <c r="D22" s="33">
        <f>SUMIF(Calculation_Engine!$C$106:$K$130,Executive_Summary!B22,Calculation_Engine!$C$135:$L$159)</f>
        <v>1578</v>
      </c>
    </row>
    <row r="26" spans="1:4" ht="18.75" x14ac:dyDescent="0.3">
      <c r="A26" t="s">
        <v>33</v>
      </c>
      <c r="D26" s="35">
        <f>SUM(Calculation_Engine!$L$200:$L$223)</f>
        <v>21865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F3DF9-C361-41AC-8515-802B26B238B5}">
  <dimension ref="A2:O223"/>
  <sheetViews>
    <sheetView showGridLines="0" zoomScaleNormal="100" workbookViewId="0">
      <selection activeCell="N71" sqref="N71"/>
    </sheetView>
  </sheetViews>
  <sheetFormatPr baseColWidth="10" defaultRowHeight="12.75" x14ac:dyDescent="0.2"/>
  <cols>
    <col min="1" max="2" width="21.42578125" customWidth="1"/>
    <col min="3" max="3" width="14" bestFit="1" customWidth="1"/>
    <col min="4" max="5" width="26.140625" bestFit="1" customWidth="1"/>
    <col min="6" max="6" width="12.28515625" bestFit="1" customWidth="1"/>
    <col min="7" max="9" width="21.42578125" customWidth="1"/>
    <col min="15" max="15" width="12.5703125" customWidth="1"/>
  </cols>
  <sheetData>
    <row r="2" spans="1:6" ht="25.5" x14ac:dyDescent="0.5">
      <c r="A2" s="27" t="s">
        <v>72</v>
      </c>
    </row>
    <row r="3" spans="1:6" ht="19.5" x14ac:dyDescent="0.35">
      <c r="A3" s="34" t="s">
        <v>23</v>
      </c>
      <c r="B3" s="34" t="s">
        <v>24</v>
      </c>
      <c r="C3" s="34" t="s">
        <v>34</v>
      </c>
      <c r="D3" s="34" t="s">
        <v>35</v>
      </c>
      <c r="E3" s="34" t="s">
        <v>36</v>
      </c>
      <c r="F3" s="34" t="s">
        <v>37</v>
      </c>
    </row>
    <row r="4" spans="1:6" x14ac:dyDescent="0.2">
      <c r="A4" t="s">
        <v>42</v>
      </c>
      <c r="B4" t="s">
        <v>45</v>
      </c>
      <c r="C4" t="s">
        <v>1</v>
      </c>
      <c r="D4">
        <f>COUNTIF($A$4:$B4,A4)</f>
        <v>1</v>
      </c>
      <c r="E4">
        <f>COUNTIF($A$4:$B4,B4)</f>
        <v>1</v>
      </c>
      <c r="F4">
        <f>_xlfn.XLOOKUP(C4,Calculation_Engine!$O$78:$O$89,Raw_Data!$E$9:$E$20,0,0)</f>
        <v>1</v>
      </c>
    </row>
    <row r="5" spans="1:6" x14ac:dyDescent="0.2">
      <c r="A5" t="s">
        <v>43</v>
      </c>
      <c r="B5" t="s">
        <v>47</v>
      </c>
      <c r="C5" t="s">
        <v>2</v>
      </c>
      <c r="D5">
        <f>COUNTIF($A$4:$B5,A5)</f>
        <v>1</v>
      </c>
      <c r="E5">
        <f>COUNTIF($A$4:$B5,B5)</f>
        <v>1</v>
      </c>
      <c r="F5">
        <f>_xlfn.XLOOKUP(C5,Calculation_Engine!$O$78:$O$89,Raw_Data!$E$9:$E$20,0,0)</f>
        <v>2</v>
      </c>
    </row>
    <row r="6" spans="1:6" x14ac:dyDescent="0.2">
      <c r="A6" t="s">
        <v>29</v>
      </c>
      <c r="B6" t="s">
        <v>46</v>
      </c>
      <c r="C6" t="s">
        <v>3</v>
      </c>
      <c r="D6">
        <f>COUNTIF($A$4:$B6,A6)</f>
        <v>1</v>
      </c>
      <c r="E6">
        <f>COUNTIF($A$4:$B6,B6)</f>
        <v>1</v>
      </c>
      <c r="F6">
        <f>_xlfn.XLOOKUP(C6,Calculation_Engine!$O$78:$O$89,Raw_Data!$E$9:$E$20,0,0)</f>
        <v>3</v>
      </c>
    </row>
    <row r="7" spans="1:6" x14ac:dyDescent="0.2">
      <c r="A7" t="s">
        <v>44</v>
      </c>
      <c r="B7" t="s">
        <v>48</v>
      </c>
      <c r="C7" t="s">
        <v>4</v>
      </c>
      <c r="D7">
        <f>COUNTIF($A$4:$B7,A7)</f>
        <v>1</v>
      </c>
      <c r="E7">
        <f>COUNTIF($A$4:$B7,B7)</f>
        <v>1</v>
      </c>
      <c r="F7">
        <f>_xlfn.XLOOKUP(C7,Calculation_Engine!$O$78:$O$89,Raw_Data!$E$9:$E$20,0,0)</f>
        <v>4</v>
      </c>
    </row>
    <row r="8" spans="1:6" x14ac:dyDescent="0.2">
      <c r="A8" t="s">
        <v>49</v>
      </c>
      <c r="B8" t="s">
        <v>53</v>
      </c>
      <c r="C8" t="s">
        <v>5</v>
      </c>
      <c r="D8">
        <f>COUNTIF($A$4:$B8,A8)</f>
        <v>1</v>
      </c>
      <c r="E8">
        <f>COUNTIF($A$4:$B8,B8)</f>
        <v>1</v>
      </c>
      <c r="F8">
        <f>_xlfn.XLOOKUP(C8,Calculation_Engine!$O$78:$O$89,Raw_Data!$E$9:$E$20,0,0)</f>
        <v>5</v>
      </c>
    </row>
    <row r="9" spans="1:6" x14ac:dyDescent="0.2">
      <c r="A9" t="s">
        <v>51</v>
      </c>
      <c r="B9" t="s">
        <v>55</v>
      </c>
      <c r="C9" t="s">
        <v>10</v>
      </c>
      <c r="D9">
        <f>COUNTIF($A$4:$B9,A9)</f>
        <v>1</v>
      </c>
      <c r="E9">
        <f>COUNTIF($A$4:$B9,B9)</f>
        <v>1</v>
      </c>
      <c r="F9">
        <f>_xlfn.XLOOKUP(C9,Calculation_Engine!$O$78:$O$89,Raw_Data!$E$9:$E$20,0,0)</f>
        <v>6</v>
      </c>
    </row>
    <row r="10" spans="1:6" x14ac:dyDescent="0.2">
      <c r="A10" t="s">
        <v>50</v>
      </c>
      <c r="B10" t="s">
        <v>54</v>
      </c>
      <c r="C10" t="s">
        <v>6</v>
      </c>
      <c r="D10">
        <f>COUNTIF($A$4:$B10,A10)</f>
        <v>1</v>
      </c>
      <c r="E10">
        <f>COUNTIF($A$4:$B10,B10)</f>
        <v>1</v>
      </c>
      <c r="F10">
        <f>_xlfn.XLOOKUP(C10,Calculation_Engine!$O$78:$O$89,Raw_Data!$E$9:$E$20,0,0)</f>
        <v>7</v>
      </c>
    </row>
    <row r="11" spans="1:6" x14ac:dyDescent="0.2">
      <c r="A11" t="s">
        <v>52</v>
      </c>
      <c r="B11" t="s">
        <v>56</v>
      </c>
      <c r="C11" t="s">
        <v>7</v>
      </c>
      <c r="D11">
        <f>COUNTIF($A$4:$B11,A11)</f>
        <v>1</v>
      </c>
      <c r="E11">
        <f>COUNTIF($A$4:$B11,B11)</f>
        <v>1</v>
      </c>
      <c r="F11">
        <f>_xlfn.XLOOKUP(C11,Calculation_Engine!$O$78:$O$89,Raw_Data!$E$9:$E$20,0,0)</f>
        <v>8</v>
      </c>
    </row>
    <row r="12" spans="1:6" x14ac:dyDescent="0.2">
      <c r="A12" t="s">
        <v>57</v>
      </c>
      <c r="B12" t="s">
        <v>61</v>
      </c>
      <c r="C12" t="s">
        <v>8</v>
      </c>
      <c r="D12">
        <f>COUNTIF($A$4:$B12,A12)</f>
        <v>1</v>
      </c>
      <c r="E12">
        <f>COUNTIF($A$4:$B12,B12)</f>
        <v>1</v>
      </c>
      <c r="F12">
        <f>_xlfn.XLOOKUP(C12,Calculation_Engine!$O$78:$O$89,Raw_Data!$E$9:$E$20,0,0)</f>
        <v>9</v>
      </c>
    </row>
    <row r="13" spans="1:6" x14ac:dyDescent="0.2">
      <c r="A13" t="s">
        <v>59</v>
      </c>
      <c r="B13" t="s">
        <v>63</v>
      </c>
      <c r="C13" t="s">
        <v>0</v>
      </c>
      <c r="D13">
        <f>COUNTIF($A$4:$B13,A13)</f>
        <v>1</v>
      </c>
      <c r="E13">
        <f>COUNTIF($A$4:$B13,B13)</f>
        <v>1</v>
      </c>
      <c r="F13">
        <f>_xlfn.XLOOKUP(C13,Calculation_Engine!$O$78:$O$89,Raw_Data!$E$9:$E$20,0,0)</f>
        <v>10</v>
      </c>
    </row>
    <row r="14" spans="1:6" x14ac:dyDescent="0.2">
      <c r="A14" t="s">
        <v>58</v>
      </c>
      <c r="B14" t="s">
        <v>62</v>
      </c>
      <c r="C14" t="s">
        <v>9</v>
      </c>
      <c r="D14">
        <f>COUNTIF($A$4:$B14,A14)</f>
        <v>1</v>
      </c>
      <c r="E14">
        <f>COUNTIF($A$4:$B14,B14)</f>
        <v>1</v>
      </c>
      <c r="F14">
        <f>_xlfn.XLOOKUP(C14,Calculation_Engine!$O$78:$O$89,Raw_Data!$E$9:$E$20,0,0)</f>
        <v>11</v>
      </c>
    </row>
    <row r="15" spans="1:6" x14ac:dyDescent="0.2">
      <c r="A15" t="s">
        <v>60</v>
      </c>
      <c r="B15" t="s">
        <v>64</v>
      </c>
      <c r="C15" t="s">
        <v>11</v>
      </c>
      <c r="D15">
        <f>COUNTIF($A$4:$B15,A15)</f>
        <v>1</v>
      </c>
      <c r="E15">
        <f>COUNTIF($A$4:$B15,B15)</f>
        <v>1</v>
      </c>
      <c r="F15">
        <f>_xlfn.XLOOKUP(C15,Calculation_Engine!$O$78:$O$89,Raw_Data!$E$9:$E$20,0,0)</f>
        <v>12</v>
      </c>
    </row>
    <row r="16" spans="1:6" x14ac:dyDescent="0.2">
      <c r="A16" t="s">
        <v>42</v>
      </c>
      <c r="B16" t="s">
        <v>49</v>
      </c>
      <c r="C16" t="s">
        <v>1</v>
      </c>
      <c r="D16">
        <f>COUNTIF($A$4:$B16,A16)</f>
        <v>2</v>
      </c>
      <c r="E16">
        <f>COUNTIF($A$4:$B16,B16)</f>
        <v>2</v>
      </c>
      <c r="F16">
        <f>_xlfn.XLOOKUP(C16,Calculation_Engine!$O$78:$O$89,Raw_Data!$E$9:$E$20,0,0)</f>
        <v>1</v>
      </c>
    </row>
    <row r="17" spans="1:6" x14ac:dyDescent="0.2">
      <c r="A17" t="s">
        <v>43</v>
      </c>
      <c r="B17" t="s">
        <v>51</v>
      </c>
      <c r="C17" t="s">
        <v>2</v>
      </c>
      <c r="D17">
        <f>COUNTIF($A$4:$B17,A17)</f>
        <v>2</v>
      </c>
      <c r="E17">
        <f>COUNTIF($A$4:$B17,B17)</f>
        <v>2</v>
      </c>
      <c r="F17">
        <f>_xlfn.XLOOKUP(C17,Calculation_Engine!$O$78:$O$89,Raw_Data!$E$9:$E$20,0,0)</f>
        <v>2</v>
      </c>
    </row>
    <row r="18" spans="1:6" x14ac:dyDescent="0.2">
      <c r="A18" t="s">
        <v>29</v>
      </c>
      <c r="B18" t="s">
        <v>50</v>
      </c>
      <c r="C18" t="s">
        <v>3</v>
      </c>
      <c r="D18">
        <f>COUNTIF($A$4:$B18,A18)</f>
        <v>2</v>
      </c>
      <c r="E18">
        <f>COUNTIF($A$4:$B18,B18)</f>
        <v>2</v>
      </c>
      <c r="F18">
        <f>_xlfn.XLOOKUP(C18,Calculation_Engine!$O$78:$O$89,Raw_Data!$E$9:$E$20,0,0)</f>
        <v>3</v>
      </c>
    </row>
    <row r="19" spans="1:6" x14ac:dyDescent="0.2">
      <c r="A19" t="s">
        <v>44</v>
      </c>
      <c r="B19" t="s">
        <v>52</v>
      </c>
      <c r="C19" t="s">
        <v>4</v>
      </c>
      <c r="D19">
        <f>COUNTIF($A$4:$B19,A19)</f>
        <v>2</v>
      </c>
      <c r="E19">
        <f>COUNTIF($A$4:$B19,B19)</f>
        <v>2</v>
      </c>
      <c r="F19">
        <f>_xlfn.XLOOKUP(C19,Calculation_Engine!$O$78:$O$89,Raw_Data!$E$9:$E$20,0,0)</f>
        <v>4</v>
      </c>
    </row>
    <row r="20" spans="1:6" x14ac:dyDescent="0.2">
      <c r="A20" t="s">
        <v>45</v>
      </c>
      <c r="B20" t="s">
        <v>53</v>
      </c>
      <c r="C20" t="s">
        <v>5</v>
      </c>
      <c r="D20">
        <f>COUNTIF($A$4:$B20,A20)</f>
        <v>2</v>
      </c>
      <c r="E20">
        <f>COUNTIF($A$4:$B20,B20)</f>
        <v>2</v>
      </c>
      <c r="F20">
        <f>_xlfn.XLOOKUP(C20,Calculation_Engine!$O$78:$O$89,Raw_Data!$E$9:$E$20,0,0)</f>
        <v>5</v>
      </c>
    </row>
    <row r="21" spans="1:6" x14ac:dyDescent="0.2">
      <c r="A21" t="s">
        <v>47</v>
      </c>
      <c r="B21" t="s">
        <v>55</v>
      </c>
      <c r="C21" t="s">
        <v>10</v>
      </c>
      <c r="D21">
        <f>COUNTIF($A$4:$B21,A21)</f>
        <v>2</v>
      </c>
      <c r="E21">
        <f>COUNTIF($A$4:$B21,B21)</f>
        <v>2</v>
      </c>
      <c r="F21">
        <f>_xlfn.XLOOKUP(C21,Calculation_Engine!$O$78:$O$89,Raw_Data!$E$9:$E$20,0,0)</f>
        <v>6</v>
      </c>
    </row>
    <row r="22" spans="1:6" x14ac:dyDescent="0.2">
      <c r="A22" t="s">
        <v>46</v>
      </c>
      <c r="B22" t="s">
        <v>54</v>
      </c>
      <c r="C22" t="s">
        <v>6</v>
      </c>
      <c r="D22">
        <f>COUNTIF($A$4:$B22,A22)</f>
        <v>2</v>
      </c>
      <c r="E22">
        <f>COUNTIF($A$4:$B22,B22)</f>
        <v>2</v>
      </c>
      <c r="F22">
        <f>_xlfn.XLOOKUP(C22,Calculation_Engine!$O$78:$O$89,Raw_Data!$E$9:$E$20,0,0)</f>
        <v>7</v>
      </c>
    </row>
    <row r="23" spans="1:6" x14ac:dyDescent="0.2">
      <c r="A23" t="s">
        <v>48</v>
      </c>
      <c r="B23" t="s">
        <v>56</v>
      </c>
      <c r="C23" t="s">
        <v>7</v>
      </c>
      <c r="D23">
        <f>COUNTIF($A$4:$B23,A23)</f>
        <v>2</v>
      </c>
      <c r="E23">
        <f>COUNTIF($A$4:$B23,B23)</f>
        <v>2</v>
      </c>
      <c r="F23">
        <f>_xlfn.XLOOKUP(C23,Calculation_Engine!$O$78:$O$89,Raw_Data!$E$9:$E$20,0,0)</f>
        <v>8</v>
      </c>
    </row>
    <row r="24" spans="1:6" x14ac:dyDescent="0.2">
      <c r="A24" t="s">
        <v>49</v>
      </c>
      <c r="B24" t="s">
        <v>57</v>
      </c>
      <c r="C24" t="s">
        <v>8</v>
      </c>
      <c r="D24">
        <f>COUNTIF($A$4:$B24,A24)</f>
        <v>3</v>
      </c>
      <c r="E24">
        <f>COUNTIF($A$4:$B24,B24)</f>
        <v>2</v>
      </c>
      <c r="F24">
        <f>_xlfn.XLOOKUP(C24,Calculation_Engine!$O$78:$O$89,Raw_Data!$E$9:$E$20,0,0)</f>
        <v>9</v>
      </c>
    </row>
    <row r="25" spans="1:6" x14ac:dyDescent="0.2">
      <c r="A25" t="s">
        <v>51</v>
      </c>
      <c r="B25" t="s">
        <v>59</v>
      </c>
      <c r="C25" t="s">
        <v>0</v>
      </c>
      <c r="D25">
        <f>COUNTIF($A$4:$B25,A25)</f>
        <v>3</v>
      </c>
      <c r="E25">
        <f>COUNTIF($A$4:$B25,B25)</f>
        <v>2</v>
      </c>
      <c r="F25">
        <f>_xlfn.XLOOKUP(C25,Calculation_Engine!$O$78:$O$89,Raw_Data!$E$9:$E$20,0,0)</f>
        <v>10</v>
      </c>
    </row>
    <row r="26" spans="1:6" x14ac:dyDescent="0.2">
      <c r="A26" t="s">
        <v>50</v>
      </c>
      <c r="B26" t="s">
        <v>58</v>
      </c>
      <c r="C26" t="s">
        <v>9</v>
      </c>
      <c r="D26">
        <f>COUNTIF($A$4:$B26,A26)</f>
        <v>3</v>
      </c>
      <c r="E26">
        <f>COUNTIF($A$4:$B26,B26)</f>
        <v>2</v>
      </c>
      <c r="F26">
        <f>_xlfn.XLOOKUP(C26,Calculation_Engine!$O$78:$O$89,Raw_Data!$E$9:$E$20,0,0)</f>
        <v>11</v>
      </c>
    </row>
    <row r="27" spans="1:6" x14ac:dyDescent="0.2">
      <c r="A27" t="s">
        <v>52</v>
      </c>
      <c r="B27" t="s">
        <v>60</v>
      </c>
      <c r="C27" t="s">
        <v>11</v>
      </c>
      <c r="D27">
        <f>COUNTIF($A$4:$B27,A27)</f>
        <v>3</v>
      </c>
      <c r="E27">
        <f>COUNTIF($A$4:$B27,B27)</f>
        <v>2</v>
      </c>
      <c r="F27">
        <f>_xlfn.XLOOKUP(C27,Calculation_Engine!$O$78:$O$89,Raw_Data!$E$9:$E$20,0,0)</f>
        <v>12</v>
      </c>
    </row>
    <row r="28" spans="1:6" x14ac:dyDescent="0.2">
      <c r="A28" t="s">
        <v>53</v>
      </c>
      <c r="B28" t="s">
        <v>61</v>
      </c>
      <c r="C28" t="s">
        <v>1</v>
      </c>
      <c r="D28">
        <f>COUNTIF($A$4:$B28,A28)</f>
        <v>3</v>
      </c>
      <c r="E28">
        <f>COUNTIF($A$4:$B28,B28)</f>
        <v>2</v>
      </c>
      <c r="F28">
        <f>_xlfn.XLOOKUP(C28,Calculation_Engine!$O$78:$O$89,Raw_Data!$E$9:$E$20,0,0)</f>
        <v>1</v>
      </c>
    </row>
    <row r="29" spans="1:6" x14ac:dyDescent="0.2">
      <c r="A29" t="s">
        <v>55</v>
      </c>
      <c r="B29" t="s">
        <v>63</v>
      </c>
      <c r="C29" t="s">
        <v>2</v>
      </c>
      <c r="D29">
        <f>COUNTIF($A$4:$B29,A29)</f>
        <v>3</v>
      </c>
      <c r="E29">
        <f>COUNTIF($A$4:$B29,B29)</f>
        <v>2</v>
      </c>
      <c r="F29">
        <f>_xlfn.XLOOKUP(C29,Calculation_Engine!$O$78:$O$89,Raw_Data!$E$9:$E$20,0,0)</f>
        <v>2</v>
      </c>
    </row>
    <row r="30" spans="1:6" x14ac:dyDescent="0.2">
      <c r="A30" t="s">
        <v>54</v>
      </c>
      <c r="B30" t="s">
        <v>62</v>
      </c>
      <c r="C30" t="s">
        <v>3</v>
      </c>
      <c r="D30">
        <f>COUNTIF($A$4:$B30,A30)</f>
        <v>3</v>
      </c>
      <c r="E30">
        <f>COUNTIF($A$4:$B30,B30)</f>
        <v>2</v>
      </c>
      <c r="F30">
        <f>_xlfn.XLOOKUP(C30,Calculation_Engine!$O$78:$O$89,Raw_Data!$E$9:$E$20,0,0)</f>
        <v>3</v>
      </c>
    </row>
    <row r="31" spans="1:6" x14ac:dyDescent="0.2">
      <c r="A31" t="s">
        <v>56</v>
      </c>
      <c r="B31" t="s">
        <v>64</v>
      </c>
      <c r="C31" t="s">
        <v>4</v>
      </c>
      <c r="D31">
        <f>COUNTIF($A$4:$B31,A31)</f>
        <v>3</v>
      </c>
      <c r="E31">
        <f>COUNTIF($A$4:$B31,B31)</f>
        <v>2</v>
      </c>
      <c r="F31">
        <f>_xlfn.XLOOKUP(C31,Calculation_Engine!$O$78:$O$89,Raw_Data!$E$9:$E$20,0,0)</f>
        <v>4</v>
      </c>
    </row>
    <row r="32" spans="1:6" x14ac:dyDescent="0.2">
      <c r="A32" t="s">
        <v>45</v>
      </c>
      <c r="B32" t="s">
        <v>57</v>
      </c>
      <c r="C32" t="s">
        <v>5</v>
      </c>
      <c r="D32">
        <f>COUNTIF($A$4:$B32,A32)</f>
        <v>3</v>
      </c>
      <c r="E32">
        <f>COUNTIF($A$4:$B32,B32)</f>
        <v>3</v>
      </c>
      <c r="F32">
        <f>_xlfn.XLOOKUP(C32,Calculation_Engine!$O$78:$O$89,Raw_Data!$E$9:$E$20,0,0)</f>
        <v>5</v>
      </c>
    </row>
    <row r="33" spans="1:6" x14ac:dyDescent="0.2">
      <c r="A33" t="s">
        <v>47</v>
      </c>
      <c r="B33" t="s">
        <v>59</v>
      </c>
      <c r="C33" t="s">
        <v>10</v>
      </c>
      <c r="D33">
        <f>COUNTIF($A$4:$B33,A33)</f>
        <v>3</v>
      </c>
      <c r="E33">
        <f>COUNTIF($A$4:$B33,B33)</f>
        <v>3</v>
      </c>
      <c r="F33">
        <f>_xlfn.XLOOKUP(C33,Calculation_Engine!$O$78:$O$89,Raw_Data!$E$9:$E$20,0,0)</f>
        <v>6</v>
      </c>
    </row>
    <row r="34" spans="1:6" x14ac:dyDescent="0.2">
      <c r="A34" t="s">
        <v>46</v>
      </c>
      <c r="B34" t="s">
        <v>58</v>
      </c>
      <c r="C34" t="s">
        <v>6</v>
      </c>
      <c r="D34">
        <f>COUNTIF($A$4:$B34,A34)</f>
        <v>3</v>
      </c>
      <c r="E34">
        <f>COUNTIF($A$4:$B34,B34)</f>
        <v>3</v>
      </c>
      <c r="F34">
        <f>_xlfn.XLOOKUP(C34,Calculation_Engine!$O$78:$O$89,Raw_Data!$E$9:$E$20,0,0)</f>
        <v>7</v>
      </c>
    </row>
    <row r="35" spans="1:6" x14ac:dyDescent="0.2">
      <c r="A35" t="s">
        <v>48</v>
      </c>
      <c r="B35" t="s">
        <v>60</v>
      </c>
      <c r="C35" t="s">
        <v>7</v>
      </c>
      <c r="D35">
        <f>COUNTIF($A$4:$B35,A35)</f>
        <v>3</v>
      </c>
      <c r="E35">
        <f>COUNTIF($A$4:$B35,B35)</f>
        <v>3</v>
      </c>
      <c r="F35">
        <f>_xlfn.XLOOKUP(C35,Calculation_Engine!$O$78:$O$89,Raw_Data!$E$9:$E$20,0,0)</f>
        <v>8</v>
      </c>
    </row>
    <row r="36" spans="1:6" x14ac:dyDescent="0.2">
      <c r="A36" t="s">
        <v>42</v>
      </c>
      <c r="B36" t="s">
        <v>53</v>
      </c>
      <c r="C36" t="s">
        <v>8</v>
      </c>
      <c r="D36">
        <f>COUNTIF($A$4:$B36,A36)</f>
        <v>3</v>
      </c>
      <c r="E36">
        <f>COUNTIF($A$4:$B36,B36)</f>
        <v>4</v>
      </c>
      <c r="F36">
        <f>_xlfn.XLOOKUP(C36,Calculation_Engine!$O$78:$O$89,Raw_Data!$E$9:$E$20,0,0)</f>
        <v>9</v>
      </c>
    </row>
    <row r="37" spans="1:6" x14ac:dyDescent="0.2">
      <c r="A37" t="s">
        <v>43</v>
      </c>
      <c r="B37" t="s">
        <v>55</v>
      </c>
      <c r="C37" t="s">
        <v>0</v>
      </c>
      <c r="D37">
        <f>COUNTIF($A$4:$B37,A37)</f>
        <v>3</v>
      </c>
      <c r="E37">
        <f>COUNTIF($A$4:$B37,B37)</f>
        <v>4</v>
      </c>
      <c r="F37">
        <f>_xlfn.XLOOKUP(C37,Calculation_Engine!$O$78:$O$89,Raw_Data!$E$9:$E$20,0,0)</f>
        <v>10</v>
      </c>
    </row>
    <row r="38" spans="1:6" x14ac:dyDescent="0.2">
      <c r="A38" t="s">
        <v>29</v>
      </c>
      <c r="B38" t="s">
        <v>54</v>
      </c>
      <c r="C38" t="s">
        <v>9</v>
      </c>
      <c r="D38">
        <f>COUNTIF($A$4:$B38,A38)</f>
        <v>3</v>
      </c>
      <c r="E38">
        <f>COUNTIF($A$4:$B38,B38)</f>
        <v>4</v>
      </c>
      <c r="F38">
        <f>_xlfn.XLOOKUP(C38,Calculation_Engine!$O$78:$O$89,Raw_Data!$E$9:$E$20,0,0)</f>
        <v>11</v>
      </c>
    </row>
    <row r="39" spans="1:6" x14ac:dyDescent="0.2">
      <c r="A39" t="s">
        <v>44</v>
      </c>
      <c r="B39" t="s">
        <v>56</v>
      </c>
      <c r="C39" t="s">
        <v>11</v>
      </c>
      <c r="D39">
        <f>COUNTIF($A$4:$B39,A39)</f>
        <v>3</v>
      </c>
      <c r="E39">
        <f>COUNTIF($A$4:$B39,B39)</f>
        <v>4</v>
      </c>
      <c r="F39">
        <f>_xlfn.XLOOKUP(C39,Calculation_Engine!$O$78:$O$89,Raw_Data!$E$9:$E$20,0,0)</f>
        <v>12</v>
      </c>
    </row>
    <row r="40" spans="1:6" x14ac:dyDescent="0.2">
      <c r="A40" t="s">
        <v>45</v>
      </c>
      <c r="B40" t="s">
        <v>61</v>
      </c>
      <c r="C40" t="s">
        <v>1</v>
      </c>
      <c r="D40">
        <f>COUNTIF($A$4:$B40,A40)</f>
        <v>4</v>
      </c>
      <c r="E40">
        <f>COUNTIF($A$4:$B40,B40)</f>
        <v>3</v>
      </c>
      <c r="F40">
        <f>_xlfn.XLOOKUP(C40,Calculation_Engine!$O$78:$O$89,Raw_Data!$E$9:$E$20,0,0)</f>
        <v>1</v>
      </c>
    </row>
    <row r="41" spans="1:6" x14ac:dyDescent="0.2">
      <c r="A41" t="s">
        <v>47</v>
      </c>
      <c r="B41" t="s">
        <v>63</v>
      </c>
      <c r="C41" t="s">
        <v>2</v>
      </c>
      <c r="D41">
        <f>COUNTIF($A$4:$B41,A41)</f>
        <v>4</v>
      </c>
      <c r="E41">
        <f>COUNTIF($A$4:$B41,B41)</f>
        <v>3</v>
      </c>
      <c r="F41">
        <f>_xlfn.XLOOKUP(C41,Calculation_Engine!$O$78:$O$89,Raw_Data!$E$9:$E$20,0,0)</f>
        <v>2</v>
      </c>
    </row>
    <row r="42" spans="1:6" x14ac:dyDescent="0.2">
      <c r="A42" t="s">
        <v>46</v>
      </c>
      <c r="B42" t="s">
        <v>62</v>
      </c>
      <c r="C42" t="s">
        <v>3</v>
      </c>
      <c r="D42">
        <f>COUNTIF($A$4:$B42,A42)</f>
        <v>4</v>
      </c>
      <c r="E42">
        <f>COUNTIF($A$4:$B42,B42)</f>
        <v>3</v>
      </c>
      <c r="F42">
        <f>_xlfn.XLOOKUP(C42,Calculation_Engine!$O$78:$O$89,Raw_Data!$E$9:$E$20,0,0)</f>
        <v>3</v>
      </c>
    </row>
    <row r="43" spans="1:6" x14ac:dyDescent="0.2">
      <c r="A43" t="s">
        <v>48</v>
      </c>
      <c r="B43" t="s">
        <v>64</v>
      </c>
      <c r="C43" t="s">
        <v>4</v>
      </c>
      <c r="D43">
        <f>COUNTIF($A$4:$B43,A43)</f>
        <v>4</v>
      </c>
      <c r="E43">
        <f>COUNTIF($A$4:$B43,B43)</f>
        <v>3</v>
      </c>
      <c r="F43">
        <f>_xlfn.XLOOKUP(C43,Calculation_Engine!$O$78:$O$89,Raw_Data!$E$9:$E$20,0,0)</f>
        <v>4</v>
      </c>
    </row>
    <row r="44" spans="1:6" x14ac:dyDescent="0.2">
      <c r="A44" t="s">
        <v>53</v>
      </c>
      <c r="B44" t="s">
        <v>57</v>
      </c>
      <c r="C44" t="s">
        <v>5</v>
      </c>
      <c r="D44">
        <f>COUNTIF($A$4:$B44,A44)</f>
        <v>5</v>
      </c>
      <c r="E44">
        <f>COUNTIF($A$4:$B44,B44)</f>
        <v>4</v>
      </c>
      <c r="F44">
        <f>_xlfn.XLOOKUP(C44,Calculation_Engine!$O$78:$O$89,Raw_Data!$E$9:$E$20,0,0)</f>
        <v>5</v>
      </c>
    </row>
    <row r="45" spans="1:6" x14ac:dyDescent="0.2">
      <c r="A45" t="s">
        <v>55</v>
      </c>
      <c r="B45" t="s">
        <v>59</v>
      </c>
      <c r="C45" t="s">
        <v>10</v>
      </c>
      <c r="D45">
        <f>COUNTIF($A$4:$B45,A45)</f>
        <v>5</v>
      </c>
      <c r="E45">
        <f>COUNTIF($A$4:$B45,B45)</f>
        <v>4</v>
      </c>
      <c r="F45">
        <f>_xlfn.XLOOKUP(C45,Calculation_Engine!$O$78:$O$89,Raw_Data!$E$9:$E$20,0,0)</f>
        <v>6</v>
      </c>
    </row>
    <row r="46" spans="1:6" x14ac:dyDescent="0.2">
      <c r="A46" t="s">
        <v>54</v>
      </c>
      <c r="B46" t="s">
        <v>58</v>
      </c>
      <c r="C46" t="s">
        <v>6</v>
      </c>
      <c r="D46">
        <f>COUNTIF($A$4:$B46,A46)</f>
        <v>5</v>
      </c>
      <c r="E46">
        <f>COUNTIF($A$4:$B46,B46)</f>
        <v>4</v>
      </c>
      <c r="F46">
        <f>_xlfn.XLOOKUP(C46,Calculation_Engine!$O$78:$O$89,Raw_Data!$E$9:$E$20,0,0)</f>
        <v>7</v>
      </c>
    </row>
    <row r="47" spans="1:6" x14ac:dyDescent="0.2">
      <c r="A47" t="s">
        <v>56</v>
      </c>
      <c r="B47" t="s">
        <v>60</v>
      </c>
      <c r="C47" t="s">
        <v>7</v>
      </c>
      <c r="D47">
        <f>COUNTIF($A$4:$B47,A47)</f>
        <v>5</v>
      </c>
      <c r="E47">
        <f>COUNTIF($A$4:$B47,B47)</f>
        <v>4</v>
      </c>
      <c r="F47">
        <f>_xlfn.XLOOKUP(C47,Calculation_Engine!$O$78:$O$89,Raw_Data!$E$9:$E$20,0,0)</f>
        <v>8</v>
      </c>
    </row>
    <row r="48" spans="1:6" x14ac:dyDescent="0.2">
      <c r="A48" t="s">
        <v>49</v>
      </c>
      <c r="B48" t="s">
        <v>61</v>
      </c>
      <c r="C48" t="s">
        <v>8</v>
      </c>
      <c r="D48">
        <f>COUNTIF($A$4:$B48,A48)</f>
        <v>4</v>
      </c>
      <c r="E48">
        <f>COUNTIF($A$4:$B48,B48)</f>
        <v>4</v>
      </c>
      <c r="F48">
        <f>_xlfn.XLOOKUP(C48,Calculation_Engine!$O$78:$O$89,Raw_Data!$E$9:$E$20,0,0)</f>
        <v>9</v>
      </c>
    </row>
    <row r="49" spans="1:6" x14ac:dyDescent="0.2">
      <c r="A49" t="s">
        <v>51</v>
      </c>
      <c r="B49" t="s">
        <v>63</v>
      </c>
      <c r="C49" t="s">
        <v>0</v>
      </c>
      <c r="D49">
        <f>COUNTIF($A$4:$B49,A49)</f>
        <v>4</v>
      </c>
      <c r="E49">
        <f>COUNTIF($A$4:$B49,B49)</f>
        <v>4</v>
      </c>
      <c r="F49">
        <f>_xlfn.XLOOKUP(C49,Calculation_Engine!$O$78:$O$89,Raw_Data!$E$9:$E$20,0,0)</f>
        <v>10</v>
      </c>
    </row>
    <row r="50" spans="1:6" x14ac:dyDescent="0.2">
      <c r="A50" t="s">
        <v>50</v>
      </c>
      <c r="B50" t="s">
        <v>62</v>
      </c>
      <c r="C50" t="s">
        <v>9</v>
      </c>
      <c r="D50">
        <f>COUNTIF($A$4:$B50,A50)</f>
        <v>4</v>
      </c>
      <c r="E50">
        <f>COUNTIF($A$4:$B50,B50)</f>
        <v>4</v>
      </c>
      <c r="F50">
        <f>_xlfn.XLOOKUP(C50,Calculation_Engine!$O$78:$O$89,Raw_Data!$E$9:$E$20,0,0)</f>
        <v>11</v>
      </c>
    </row>
    <row r="51" spans="1:6" x14ac:dyDescent="0.2">
      <c r="A51" t="s">
        <v>52</v>
      </c>
      <c r="B51" t="s">
        <v>64</v>
      </c>
      <c r="C51" t="s">
        <v>11</v>
      </c>
      <c r="D51">
        <f>COUNTIF($A$4:$B51,A51)</f>
        <v>4</v>
      </c>
      <c r="E51">
        <f>COUNTIF($A$4:$B51,B51)</f>
        <v>4</v>
      </c>
      <c r="F51">
        <f>_xlfn.XLOOKUP(C51,Calculation_Engine!$O$78:$O$89,Raw_Data!$E$9:$E$20,0,0)</f>
        <v>12</v>
      </c>
    </row>
    <row r="52" spans="1:6" x14ac:dyDescent="0.2">
      <c r="A52" t="s">
        <v>42</v>
      </c>
      <c r="B52" t="s">
        <v>57</v>
      </c>
      <c r="C52" t="s">
        <v>1</v>
      </c>
      <c r="D52">
        <f>COUNTIF($A$4:$B52,A52)</f>
        <v>4</v>
      </c>
      <c r="E52">
        <f>COUNTIF($A$4:$B52,B52)</f>
        <v>5</v>
      </c>
      <c r="F52">
        <f>_xlfn.XLOOKUP(C52,Calculation_Engine!$O$78:$O$89,Raw_Data!$E$9:$E$20,0,0)</f>
        <v>1</v>
      </c>
    </row>
    <row r="53" spans="1:6" x14ac:dyDescent="0.2">
      <c r="A53" t="s">
        <v>43</v>
      </c>
      <c r="B53" t="s">
        <v>59</v>
      </c>
      <c r="C53" t="s">
        <v>2</v>
      </c>
      <c r="D53">
        <f>COUNTIF($A$4:$B53,A53)</f>
        <v>4</v>
      </c>
      <c r="E53">
        <f>COUNTIF($A$4:$B53,B53)</f>
        <v>5</v>
      </c>
      <c r="F53">
        <f>_xlfn.XLOOKUP(C53,Calculation_Engine!$O$78:$O$89,Raw_Data!$E$9:$E$20,0,0)</f>
        <v>2</v>
      </c>
    </row>
    <row r="54" spans="1:6" x14ac:dyDescent="0.2">
      <c r="A54" t="s">
        <v>29</v>
      </c>
      <c r="B54" t="s">
        <v>58</v>
      </c>
      <c r="C54" t="s">
        <v>3</v>
      </c>
      <c r="D54">
        <f>COUNTIF($A$4:$B54,A54)</f>
        <v>4</v>
      </c>
      <c r="E54">
        <f>COUNTIF($A$4:$B54,B54)</f>
        <v>5</v>
      </c>
      <c r="F54">
        <f>_xlfn.XLOOKUP(C54,Calculation_Engine!$O$78:$O$89,Raw_Data!$E$9:$E$20,0,0)</f>
        <v>3</v>
      </c>
    </row>
    <row r="55" spans="1:6" x14ac:dyDescent="0.2">
      <c r="A55" t="s">
        <v>44</v>
      </c>
      <c r="B55" t="s">
        <v>60</v>
      </c>
      <c r="C55" t="s">
        <v>4</v>
      </c>
      <c r="D55">
        <f>COUNTIF($A$4:$B55,A55)</f>
        <v>4</v>
      </c>
      <c r="E55">
        <f>COUNTIF($A$4:$B55,B55)</f>
        <v>5</v>
      </c>
      <c r="F55">
        <f>_xlfn.XLOOKUP(C55,Calculation_Engine!$O$78:$O$89,Raw_Data!$E$9:$E$20,0,0)</f>
        <v>4</v>
      </c>
    </row>
    <row r="56" spans="1:6" x14ac:dyDescent="0.2">
      <c r="A56" t="s">
        <v>45</v>
      </c>
      <c r="B56" t="s">
        <v>49</v>
      </c>
      <c r="C56" t="s">
        <v>5</v>
      </c>
      <c r="D56">
        <f>COUNTIF($A$4:$B56,A56)</f>
        <v>5</v>
      </c>
      <c r="E56">
        <f>COUNTIF($A$4:$B56,B56)</f>
        <v>5</v>
      </c>
      <c r="F56">
        <f>_xlfn.XLOOKUP(C56,Calculation_Engine!$O$78:$O$89,Raw_Data!$E$9:$E$20,0,0)</f>
        <v>5</v>
      </c>
    </row>
    <row r="57" spans="1:6" x14ac:dyDescent="0.2">
      <c r="A57" t="s">
        <v>47</v>
      </c>
      <c r="B57" t="s">
        <v>51</v>
      </c>
      <c r="C57" t="s">
        <v>10</v>
      </c>
      <c r="D57">
        <f>COUNTIF($A$4:$B57,A57)</f>
        <v>5</v>
      </c>
      <c r="E57">
        <f>COUNTIF($A$4:$B57,B57)</f>
        <v>5</v>
      </c>
      <c r="F57">
        <f>_xlfn.XLOOKUP(C57,Calculation_Engine!$O$78:$O$89,Raw_Data!$E$9:$E$20,0,0)</f>
        <v>6</v>
      </c>
    </row>
    <row r="58" spans="1:6" x14ac:dyDescent="0.2">
      <c r="A58" t="s">
        <v>46</v>
      </c>
      <c r="B58" t="s">
        <v>50</v>
      </c>
      <c r="C58" t="s">
        <v>6</v>
      </c>
      <c r="D58">
        <f>COUNTIF($A$4:$B58,A58)</f>
        <v>5</v>
      </c>
      <c r="E58">
        <f>COUNTIF($A$4:$B58,B58)</f>
        <v>5</v>
      </c>
      <c r="F58">
        <f>_xlfn.XLOOKUP(C58,Calculation_Engine!$O$78:$O$89,Raw_Data!$E$9:$E$20,0,0)</f>
        <v>7</v>
      </c>
    </row>
    <row r="59" spans="1:6" x14ac:dyDescent="0.2">
      <c r="A59" t="s">
        <v>48</v>
      </c>
      <c r="B59" t="s">
        <v>52</v>
      </c>
      <c r="C59" t="s">
        <v>7</v>
      </c>
      <c r="D59">
        <f>COUNTIF($A$4:$B59,A59)</f>
        <v>5</v>
      </c>
      <c r="E59">
        <f>COUNTIF($A$4:$B59,B59)</f>
        <v>5</v>
      </c>
      <c r="F59">
        <f>_xlfn.XLOOKUP(C59,Calculation_Engine!$O$78:$O$89,Raw_Data!$E$9:$E$20,0,0)</f>
        <v>8</v>
      </c>
    </row>
    <row r="60" spans="1:6" x14ac:dyDescent="0.2">
      <c r="A60" t="s">
        <v>42</v>
      </c>
      <c r="B60" t="s">
        <v>61</v>
      </c>
      <c r="C60" t="s">
        <v>8</v>
      </c>
      <c r="D60">
        <f>COUNTIF($A$4:$B60,A60)</f>
        <v>5</v>
      </c>
      <c r="E60">
        <f>COUNTIF($A$4:$B60,B60)</f>
        <v>5</v>
      </c>
      <c r="F60">
        <f>_xlfn.XLOOKUP(C60,Calculation_Engine!$O$78:$O$89,Raw_Data!$E$9:$E$20,0,0)</f>
        <v>9</v>
      </c>
    </row>
    <row r="61" spans="1:6" x14ac:dyDescent="0.2">
      <c r="A61" t="s">
        <v>43</v>
      </c>
      <c r="B61" t="s">
        <v>63</v>
      </c>
      <c r="C61" t="s">
        <v>0</v>
      </c>
      <c r="D61">
        <f>COUNTIF($A$4:$B61,A61)</f>
        <v>5</v>
      </c>
      <c r="E61">
        <f>COUNTIF($A$4:$B61,B61)</f>
        <v>5</v>
      </c>
      <c r="F61">
        <f>_xlfn.XLOOKUP(C61,Calculation_Engine!$O$78:$O$89,Raw_Data!$E$9:$E$20,0,0)</f>
        <v>10</v>
      </c>
    </row>
    <row r="62" spans="1:6" x14ac:dyDescent="0.2">
      <c r="A62" t="s">
        <v>29</v>
      </c>
      <c r="B62" t="s">
        <v>62</v>
      </c>
      <c r="C62" t="s">
        <v>9</v>
      </c>
      <c r="D62">
        <f>COUNTIF($A$4:$B62,A62)</f>
        <v>5</v>
      </c>
      <c r="E62">
        <f>COUNTIF($A$4:$B62,B62)</f>
        <v>5</v>
      </c>
      <c r="F62">
        <f>_xlfn.XLOOKUP(C62,Calculation_Engine!$O$78:$O$89,Raw_Data!$E$9:$E$20,0,0)</f>
        <v>11</v>
      </c>
    </row>
    <row r="63" spans="1:6" x14ac:dyDescent="0.2">
      <c r="A63" t="s">
        <v>44</v>
      </c>
      <c r="B63" t="s">
        <v>64</v>
      </c>
      <c r="C63" t="s">
        <v>11</v>
      </c>
      <c r="D63">
        <f>COUNTIF($A$4:$B63,A63)</f>
        <v>5</v>
      </c>
      <c r="E63">
        <f>COUNTIF($A$4:$B63,B63)</f>
        <v>5</v>
      </c>
      <c r="F63">
        <f>_xlfn.XLOOKUP(C63,Calculation_Engine!$O$78:$O$89,Raw_Data!$E$9:$E$20,0,0)</f>
        <v>12</v>
      </c>
    </row>
    <row r="64" spans="1:6" x14ac:dyDescent="0.2">
      <c r="A64" t="s">
        <v>42</v>
      </c>
      <c r="B64" t="s">
        <v>48</v>
      </c>
      <c r="C64" t="s">
        <v>1</v>
      </c>
      <c r="D64">
        <f>COUNTIF($A$4:$B64,A64)</f>
        <v>6</v>
      </c>
      <c r="E64">
        <f>COUNTIF($A$4:$B64,B64)</f>
        <v>6</v>
      </c>
      <c r="F64">
        <f>_xlfn.XLOOKUP(C64,Calculation_Engine!$O$78:$O$89,Raw_Data!$E$9:$E$20,0,0)</f>
        <v>1</v>
      </c>
    </row>
    <row r="65" spans="1:15" x14ac:dyDescent="0.2">
      <c r="A65" t="s">
        <v>29</v>
      </c>
      <c r="B65" t="s">
        <v>47</v>
      </c>
      <c r="C65" t="s">
        <v>2</v>
      </c>
      <c r="D65">
        <f>COUNTIF($A$4:$B65,A65)</f>
        <v>6</v>
      </c>
      <c r="E65">
        <f>COUNTIF($A$4:$B65,B65)</f>
        <v>6</v>
      </c>
      <c r="F65">
        <f>_xlfn.XLOOKUP(C65,Calculation_Engine!$O$78:$O$89,Raw_Data!$E$9:$E$20,0,0)</f>
        <v>2</v>
      </c>
    </row>
    <row r="66" spans="1:15" x14ac:dyDescent="0.2">
      <c r="A66" t="s">
        <v>43</v>
      </c>
      <c r="B66" t="s">
        <v>46</v>
      </c>
      <c r="C66" t="s">
        <v>3</v>
      </c>
      <c r="D66">
        <f>COUNTIF($A$4:$B66,A66)</f>
        <v>6</v>
      </c>
      <c r="E66">
        <f>COUNTIF($A$4:$B66,B66)</f>
        <v>6</v>
      </c>
      <c r="F66">
        <f>_xlfn.XLOOKUP(C66,Calculation_Engine!$O$78:$O$89,Raw_Data!$E$9:$E$20,0,0)</f>
        <v>3</v>
      </c>
    </row>
    <row r="67" spans="1:15" x14ac:dyDescent="0.2">
      <c r="A67" t="s">
        <v>44</v>
      </c>
      <c r="B67" t="s">
        <v>45</v>
      </c>
      <c r="C67" t="s">
        <v>4</v>
      </c>
      <c r="D67">
        <f>COUNTIF($A$4:$B67,A67)</f>
        <v>6</v>
      </c>
      <c r="E67">
        <f>COUNTIF($A$4:$B67,B67)</f>
        <v>6</v>
      </c>
      <c r="F67">
        <f>_xlfn.XLOOKUP(C67,Calculation_Engine!$O$78:$O$89,Raw_Data!$E$9:$E$20,0,0)</f>
        <v>4</v>
      </c>
    </row>
    <row r="68" spans="1:15" x14ac:dyDescent="0.2">
      <c r="A68" t="s">
        <v>42</v>
      </c>
      <c r="B68" t="s">
        <v>44</v>
      </c>
      <c r="C68" t="s">
        <v>5</v>
      </c>
      <c r="D68">
        <f>COUNTIF($A$4:$B68,A68)</f>
        <v>7</v>
      </c>
      <c r="E68">
        <f>COUNTIF($A$4:$B68,B68)</f>
        <v>7</v>
      </c>
      <c r="F68">
        <f>_xlfn.XLOOKUP(C68,Calculation_Engine!$O$78:$O$89,Raw_Data!$E$9:$E$20,0,0)</f>
        <v>5</v>
      </c>
    </row>
    <row r="69" spans="1:15" x14ac:dyDescent="0.2">
      <c r="A69" t="s">
        <v>29</v>
      </c>
      <c r="B69" t="s">
        <v>43</v>
      </c>
      <c r="C69" t="s">
        <v>10</v>
      </c>
      <c r="D69">
        <f>COUNTIF($A$4:$B69,A69)</f>
        <v>7</v>
      </c>
      <c r="E69">
        <f>COUNTIF($A$4:$B69,B69)</f>
        <v>7</v>
      </c>
      <c r="F69">
        <f>_xlfn.XLOOKUP(C69,Calculation_Engine!$O$78:$O$89,Raw_Data!$E$9:$E$20,0,0)</f>
        <v>6</v>
      </c>
    </row>
    <row r="70" spans="1:15" x14ac:dyDescent="0.2">
      <c r="A70" t="s">
        <v>42</v>
      </c>
      <c r="B70" t="s">
        <v>29</v>
      </c>
      <c r="C70" t="s">
        <v>6</v>
      </c>
      <c r="D70">
        <f>COUNTIF($A$4:$B70,A70)</f>
        <v>8</v>
      </c>
      <c r="E70">
        <f>COUNTIF($A$4:$B70,B70)</f>
        <v>8</v>
      </c>
      <c r="F70">
        <f>_xlfn.XLOOKUP(C70,Calculation_Engine!$O$78:$O$89,Raw_Data!$E$9:$E$20,0,0)</f>
        <v>7</v>
      </c>
    </row>
    <row r="76" spans="1:15" ht="25.5" x14ac:dyDescent="0.5">
      <c r="A76" s="27" t="s">
        <v>70</v>
      </c>
    </row>
    <row r="77" spans="1:15" ht="21.75" thickBot="1" x14ac:dyDescent="0.4">
      <c r="B77" s="34" t="s">
        <v>38</v>
      </c>
      <c r="C77" s="34">
        <v>1</v>
      </c>
      <c r="D77" s="34">
        <v>2</v>
      </c>
      <c r="E77" s="34">
        <v>3</v>
      </c>
      <c r="F77" s="34">
        <v>4</v>
      </c>
      <c r="G77" s="34">
        <v>5</v>
      </c>
      <c r="H77" s="34">
        <v>6</v>
      </c>
      <c r="I77" s="34">
        <v>7</v>
      </c>
      <c r="J77" s="34">
        <v>8</v>
      </c>
      <c r="K77" s="34" t="s">
        <v>39</v>
      </c>
      <c r="N77" s="1" t="s">
        <v>65</v>
      </c>
      <c r="O77" s="1" t="s">
        <v>21</v>
      </c>
    </row>
    <row r="78" spans="1:15" x14ac:dyDescent="0.2">
      <c r="A78" t="s">
        <v>42</v>
      </c>
      <c r="B78">
        <v>11</v>
      </c>
      <c r="C78">
        <f>SUMIFS($F$3:$F$70,$D$3:$D$70,C$77,$A$3:$A$70,$A78)+SUMIFS($F$3:$F$70,$E$3:$E$70,C$77,$B$3:$B$70,$A78)</f>
        <v>1</v>
      </c>
      <c r="D78">
        <f t="shared" ref="D78:J93" si="0">SUMIFS($F$3:$F$70,$D$3:$D$70,D$77,$A$3:$A$70,$A78)+SUMIFS($F$3:$F$70,$E$3:$E$70,D$77,$B$3:$B$70,$A78)</f>
        <v>1</v>
      </c>
      <c r="E78">
        <f t="shared" si="0"/>
        <v>9</v>
      </c>
      <c r="F78">
        <f t="shared" si="0"/>
        <v>1</v>
      </c>
      <c r="G78">
        <f t="shared" si="0"/>
        <v>9</v>
      </c>
      <c r="H78">
        <f t="shared" si="0"/>
        <v>1</v>
      </c>
      <c r="I78">
        <f t="shared" si="0"/>
        <v>5</v>
      </c>
      <c r="J78">
        <f t="shared" si="0"/>
        <v>7</v>
      </c>
      <c r="K78">
        <v>11</v>
      </c>
      <c r="N78" s="8">
        <v>1</v>
      </c>
      <c r="O78" s="8" t="s">
        <v>1</v>
      </c>
    </row>
    <row r="79" spans="1:15" x14ac:dyDescent="0.2">
      <c r="A79" t="s">
        <v>29</v>
      </c>
      <c r="B79">
        <v>11</v>
      </c>
      <c r="C79">
        <f t="shared" ref="C79:J101" si="1">SUMIFS($F$3:$F$70,$D$3:$D$70,C$77,$A$3:$A$70,$A79)+SUMIFS($F$3:$F$70,$E$3:$E$70,C$77,$B$3:$B$70,$A79)</f>
        <v>3</v>
      </c>
      <c r="D79">
        <f t="shared" si="0"/>
        <v>3</v>
      </c>
      <c r="E79">
        <f t="shared" si="0"/>
        <v>11</v>
      </c>
      <c r="F79">
        <f t="shared" si="0"/>
        <v>3</v>
      </c>
      <c r="G79">
        <f t="shared" si="0"/>
        <v>11</v>
      </c>
      <c r="H79">
        <f t="shared" si="0"/>
        <v>2</v>
      </c>
      <c r="I79">
        <f t="shared" si="0"/>
        <v>6</v>
      </c>
      <c r="J79">
        <f t="shared" si="0"/>
        <v>7</v>
      </c>
      <c r="K79">
        <v>11</v>
      </c>
      <c r="N79" s="9">
        <v>2</v>
      </c>
      <c r="O79" s="9" t="s">
        <v>2</v>
      </c>
    </row>
    <row r="80" spans="1:15" x14ac:dyDescent="0.2">
      <c r="A80" t="s">
        <v>43</v>
      </c>
      <c r="B80">
        <v>11</v>
      </c>
      <c r="C80">
        <f t="shared" si="1"/>
        <v>2</v>
      </c>
      <c r="D80">
        <f t="shared" si="0"/>
        <v>2</v>
      </c>
      <c r="E80">
        <f t="shared" si="0"/>
        <v>10</v>
      </c>
      <c r="F80">
        <f t="shared" si="0"/>
        <v>2</v>
      </c>
      <c r="G80">
        <f t="shared" si="0"/>
        <v>10</v>
      </c>
      <c r="H80">
        <f t="shared" si="0"/>
        <v>3</v>
      </c>
      <c r="I80">
        <f t="shared" si="0"/>
        <v>6</v>
      </c>
      <c r="J80">
        <f t="shared" si="0"/>
        <v>0</v>
      </c>
      <c r="K80">
        <v>11</v>
      </c>
      <c r="N80" s="9">
        <v>3</v>
      </c>
      <c r="O80" s="9" t="s">
        <v>3</v>
      </c>
    </row>
    <row r="81" spans="1:15" x14ac:dyDescent="0.2">
      <c r="A81" t="s">
        <v>44</v>
      </c>
      <c r="B81">
        <v>11</v>
      </c>
      <c r="C81">
        <f t="shared" si="1"/>
        <v>4</v>
      </c>
      <c r="D81">
        <f t="shared" si="0"/>
        <v>4</v>
      </c>
      <c r="E81">
        <f t="shared" si="0"/>
        <v>12</v>
      </c>
      <c r="F81">
        <f t="shared" si="0"/>
        <v>4</v>
      </c>
      <c r="G81">
        <f t="shared" si="0"/>
        <v>12</v>
      </c>
      <c r="H81">
        <f t="shared" si="0"/>
        <v>4</v>
      </c>
      <c r="I81">
        <f t="shared" si="0"/>
        <v>5</v>
      </c>
      <c r="J81">
        <f t="shared" si="0"/>
        <v>0</v>
      </c>
      <c r="K81">
        <v>11</v>
      </c>
      <c r="N81" s="9">
        <v>4</v>
      </c>
      <c r="O81" s="9" t="s">
        <v>4</v>
      </c>
    </row>
    <row r="82" spans="1:15" x14ac:dyDescent="0.2">
      <c r="A82" t="s">
        <v>45</v>
      </c>
      <c r="B82">
        <v>11</v>
      </c>
      <c r="C82">
        <f t="shared" si="1"/>
        <v>1</v>
      </c>
      <c r="D82">
        <f t="shared" si="0"/>
        <v>5</v>
      </c>
      <c r="E82">
        <f t="shared" si="0"/>
        <v>5</v>
      </c>
      <c r="F82">
        <f t="shared" si="0"/>
        <v>1</v>
      </c>
      <c r="G82">
        <f t="shared" si="0"/>
        <v>5</v>
      </c>
      <c r="H82">
        <f t="shared" si="0"/>
        <v>4</v>
      </c>
      <c r="I82">
        <f t="shared" si="0"/>
        <v>0</v>
      </c>
      <c r="J82">
        <f t="shared" si="0"/>
        <v>0</v>
      </c>
      <c r="K82">
        <v>11</v>
      </c>
      <c r="N82" s="9">
        <v>5</v>
      </c>
      <c r="O82" s="9" t="s">
        <v>5</v>
      </c>
    </row>
    <row r="83" spans="1:15" x14ac:dyDescent="0.2">
      <c r="A83" t="s">
        <v>46</v>
      </c>
      <c r="B83">
        <v>11</v>
      </c>
      <c r="C83">
        <f t="shared" si="1"/>
        <v>3</v>
      </c>
      <c r="D83">
        <f t="shared" si="0"/>
        <v>7</v>
      </c>
      <c r="E83">
        <f t="shared" si="0"/>
        <v>7</v>
      </c>
      <c r="F83">
        <f t="shared" si="0"/>
        <v>3</v>
      </c>
      <c r="G83">
        <f t="shared" si="0"/>
        <v>7</v>
      </c>
      <c r="H83">
        <f t="shared" si="0"/>
        <v>3</v>
      </c>
      <c r="I83">
        <f t="shared" si="0"/>
        <v>0</v>
      </c>
      <c r="J83">
        <f t="shared" si="0"/>
        <v>0</v>
      </c>
      <c r="K83">
        <v>11</v>
      </c>
      <c r="N83" s="9">
        <v>6</v>
      </c>
      <c r="O83" s="9" t="s">
        <v>10</v>
      </c>
    </row>
    <row r="84" spans="1:15" x14ac:dyDescent="0.2">
      <c r="A84" t="s">
        <v>47</v>
      </c>
      <c r="B84">
        <v>11</v>
      </c>
      <c r="C84">
        <f t="shared" si="1"/>
        <v>2</v>
      </c>
      <c r="D84">
        <f t="shared" si="0"/>
        <v>6</v>
      </c>
      <c r="E84">
        <f t="shared" si="0"/>
        <v>6</v>
      </c>
      <c r="F84">
        <f t="shared" si="0"/>
        <v>2</v>
      </c>
      <c r="G84">
        <f t="shared" si="0"/>
        <v>6</v>
      </c>
      <c r="H84">
        <f t="shared" si="0"/>
        <v>2</v>
      </c>
      <c r="I84">
        <f t="shared" si="0"/>
        <v>0</v>
      </c>
      <c r="J84">
        <f t="shared" si="0"/>
        <v>0</v>
      </c>
      <c r="K84">
        <v>11</v>
      </c>
      <c r="N84" s="9">
        <v>7</v>
      </c>
      <c r="O84" s="9" t="s">
        <v>6</v>
      </c>
    </row>
    <row r="85" spans="1:15" x14ac:dyDescent="0.2">
      <c r="A85" t="s">
        <v>48</v>
      </c>
      <c r="B85">
        <v>11</v>
      </c>
      <c r="C85">
        <f t="shared" si="1"/>
        <v>4</v>
      </c>
      <c r="D85">
        <f t="shared" si="0"/>
        <v>8</v>
      </c>
      <c r="E85">
        <f t="shared" si="0"/>
        <v>8</v>
      </c>
      <c r="F85">
        <f t="shared" si="0"/>
        <v>4</v>
      </c>
      <c r="G85">
        <f t="shared" si="0"/>
        <v>8</v>
      </c>
      <c r="H85">
        <f t="shared" si="0"/>
        <v>1</v>
      </c>
      <c r="I85">
        <f t="shared" si="0"/>
        <v>0</v>
      </c>
      <c r="J85">
        <f t="shared" si="0"/>
        <v>0</v>
      </c>
      <c r="K85">
        <v>11</v>
      </c>
      <c r="N85" s="9">
        <v>8</v>
      </c>
      <c r="O85" s="9" t="s">
        <v>7</v>
      </c>
    </row>
    <row r="86" spans="1:15" x14ac:dyDescent="0.2">
      <c r="A86" t="s">
        <v>49</v>
      </c>
      <c r="B86">
        <v>11</v>
      </c>
      <c r="C86">
        <f t="shared" si="1"/>
        <v>5</v>
      </c>
      <c r="D86">
        <f t="shared" si="0"/>
        <v>1</v>
      </c>
      <c r="E86">
        <f t="shared" si="0"/>
        <v>9</v>
      </c>
      <c r="F86">
        <f t="shared" si="0"/>
        <v>9</v>
      </c>
      <c r="G86">
        <f t="shared" si="0"/>
        <v>5</v>
      </c>
      <c r="H86">
        <f t="shared" si="0"/>
        <v>0</v>
      </c>
      <c r="I86">
        <f t="shared" si="0"/>
        <v>0</v>
      </c>
      <c r="J86">
        <f t="shared" si="0"/>
        <v>0</v>
      </c>
      <c r="K86">
        <v>11</v>
      </c>
      <c r="N86" s="9">
        <v>9</v>
      </c>
      <c r="O86" s="9" t="s">
        <v>8</v>
      </c>
    </row>
    <row r="87" spans="1:15" x14ac:dyDescent="0.2">
      <c r="A87" t="s">
        <v>50</v>
      </c>
      <c r="B87">
        <v>11</v>
      </c>
      <c r="C87">
        <f t="shared" si="1"/>
        <v>7</v>
      </c>
      <c r="D87">
        <f t="shared" si="0"/>
        <v>3</v>
      </c>
      <c r="E87">
        <f t="shared" si="0"/>
        <v>11</v>
      </c>
      <c r="F87">
        <f t="shared" si="0"/>
        <v>11</v>
      </c>
      <c r="G87">
        <f t="shared" si="0"/>
        <v>7</v>
      </c>
      <c r="H87">
        <f t="shared" si="0"/>
        <v>0</v>
      </c>
      <c r="I87">
        <f t="shared" si="0"/>
        <v>0</v>
      </c>
      <c r="J87">
        <f t="shared" si="0"/>
        <v>0</v>
      </c>
      <c r="K87">
        <v>11</v>
      </c>
      <c r="N87" s="9">
        <v>10</v>
      </c>
      <c r="O87" s="9" t="s">
        <v>0</v>
      </c>
    </row>
    <row r="88" spans="1:15" x14ac:dyDescent="0.2">
      <c r="A88" t="s">
        <v>51</v>
      </c>
      <c r="B88">
        <v>11</v>
      </c>
      <c r="C88">
        <f t="shared" si="1"/>
        <v>6</v>
      </c>
      <c r="D88">
        <f t="shared" si="0"/>
        <v>2</v>
      </c>
      <c r="E88">
        <f t="shared" si="0"/>
        <v>10</v>
      </c>
      <c r="F88">
        <f t="shared" si="0"/>
        <v>10</v>
      </c>
      <c r="G88">
        <f t="shared" si="0"/>
        <v>6</v>
      </c>
      <c r="H88">
        <f t="shared" si="0"/>
        <v>0</v>
      </c>
      <c r="I88">
        <f t="shared" si="0"/>
        <v>0</v>
      </c>
      <c r="J88">
        <f t="shared" si="0"/>
        <v>0</v>
      </c>
      <c r="K88">
        <v>11</v>
      </c>
      <c r="N88" s="9">
        <v>11</v>
      </c>
      <c r="O88" s="9" t="s">
        <v>9</v>
      </c>
    </row>
    <row r="89" spans="1:15" ht="13.5" thickBot="1" x14ac:dyDescent="0.25">
      <c r="A89" t="s">
        <v>52</v>
      </c>
      <c r="B89">
        <v>11</v>
      </c>
      <c r="C89">
        <f t="shared" si="1"/>
        <v>8</v>
      </c>
      <c r="D89">
        <f t="shared" si="0"/>
        <v>4</v>
      </c>
      <c r="E89">
        <f t="shared" si="0"/>
        <v>12</v>
      </c>
      <c r="F89">
        <f t="shared" si="0"/>
        <v>12</v>
      </c>
      <c r="G89">
        <f t="shared" si="0"/>
        <v>8</v>
      </c>
      <c r="H89">
        <f t="shared" si="0"/>
        <v>0</v>
      </c>
      <c r="I89">
        <f t="shared" si="0"/>
        <v>0</v>
      </c>
      <c r="J89">
        <f t="shared" si="0"/>
        <v>0</v>
      </c>
      <c r="K89">
        <v>11</v>
      </c>
      <c r="N89" s="10">
        <v>12</v>
      </c>
      <c r="O89" s="10" t="s">
        <v>11</v>
      </c>
    </row>
    <row r="90" spans="1:15" x14ac:dyDescent="0.2">
      <c r="A90" t="s">
        <v>53</v>
      </c>
      <c r="B90">
        <v>11</v>
      </c>
      <c r="C90">
        <f t="shared" si="1"/>
        <v>5</v>
      </c>
      <c r="D90">
        <f t="shared" si="0"/>
        <v>5</v>
      </c>
      <c r="E90">
        <f t="shared" si="0"/>
        <v>1</v>
      </c>
      <c r="F90">
        <f t="shared" si="0"/>
        <v>9</v>
      </c>
      <c r="G90">
        <f t="shared" si="0"/>
        <v>5</v>
      </c>
      <c r="H90">
        <f t="shared" si="0"/>
        <v>0</v>
      </c>
      <c r="I90">
        <f t="shared" si="0"/>
        <v>0</v>
      </c>
      <c r="J90">
        <f t="shared" si="0"/>
        <v>0</v>
      </c>
      <c r="K90">
        <v>11</v>
      </c>
    </row>
    <row r="91" spans="1:15" x14ac:dyDescent="0.2">
      <c r="A91" t="s">
        <v>54</v>
      </c>
      <c r="B91">
        <v>11</v>
      </c>
      <c r="C91">
        <f t="shared" si="1"/>
        <v>7</v>
      </c>
      <c r="D91">
        <f t="shared" si="0"/>
        <v>7</v>
      </c>
      <c r="E91">
        <f t="shared" si="0"/>
        <v>3</v>
      </c>
      <c r="F91">
        <f t="shared" si="0"/>
        <v>11</v>
      </c>
      <c r="G91">
        <f t="shared" si="0"/>
        <v>7</v>
      </c>
      <c r="H91">
        <f t="shared" si="0"/>
        <v>0</v>
      </c>
      <c r="I91">
        <f t="shared" si="0"/>
        <v>0</v>
      </c>
      <c r="J91">
        <f t="shared" si="0"/>
        <v>0</v>
      </c>
      <c r="K91">
        <v>11</v>
      </c>
    </row>
    <row r="92" spans="1:15" x14ac:dyDescent="0.2">
      <c r="A92" t="s">
        <v>55</v>
      </c>
      <c r="B92">
        <v>11</v>
      </c>
      <c r="C92">
        <f t="shared" si="1"/>
        <v>6</v>
      </c>
      <c r="D92">
        <f t="shared" si="0"/>
        <v>6</v>
      </c>
      <c r="E92">
        <f t="shared" si="0"/>
        <v>2</v>
      </c>
      <c r="F92">
        <f t="shared" si="0"/>
        <v>10</v>
      </c>
      <c r="G92">
        <f t="shared" si="0"/>
        <v>6</v>
      </c>
      <c r="H92">
        <f t="shared" si="0"/>
        <v>0</v>
      </c>
      <c r="I92">
        <f t="shared" si="0"/>
        <v>0</v>
      </c>
      <c r="J92">
        <f t="shared" si="0"/>
        <v>0</v>
      </c>
      <c r="K92">
        <v>11</v>
      </c>
    </row>
    <row r="93" spans="1:15" x14ac:dyDescent="0.2">
      <c r="A93" t="s">
        <v>56</v>
      </c>
      <c r="B93">
        <v>11</v>
      </c>
      <c r="C93">
        <f t="shared" si="1"/>
        <v>8</v>
      </c>
      <c r="D93">
        <f t="shared" si="0"/>
        <v>8</v>
      </c>
      <c r="E93">
        <f t="shared" si="0"/>
        <v>4</v>
      </c>
      <c r="F93">
        <f t="shared" si="0"/>
        <v>12</v>
      </c>
      <c r="G93">
        <f t="shared" si="0"/>
        <v>8</v>
      </c>
      <c r="H93">
        <f t="shared" si="0"/>
        <v>0</v>
      </c>
      <c r="I93">
        <f t="shared" si="0"/>
        <v>0</v>
      </c>
      <c r="J93">
        <f t="shared" si="0"/>
        <v>0</v>
      </c>
      <c r="K93">
        <v>11</v>
      </c>
    </row>
    <row r="94" spans="1:15" x14ac:dyDescent="0.2">
      <c r="A94" t="s">
        <v>57</v>
      </c>
      <c r="B94">
        <v>11</v>
      </c>
      <c r="C94">
        <f t="shared" si="1"/>
        <v>9</v>
      </c>
      <c r="D94">
        <f t="shared" si="1"/>
        <v>9</v>
      </c>
      <c r="E94">
        <f t="shared" si="1"/>
        <v>5</v>
      </c>
      <c r="F94">
        <f t="shared" si="1"/>
        <v>5</v>
      </c>
      <c r="G94">
        <f t="shared" si="1"/>
        <v>1</v>
      </c>
      <c r="H94">
        <f t="shared" si="1"/>
        <v>0</v>
      </c>
      <c r="I94">
        <f t="shared" si="1"/>
        <v>0</v>
      </c>
      <c r="J94">
        <f t="shared" si="1"/>
        <v>0</v>
      </c>
      <c r="K94">
        <v>11</v>
      </c>
    </row>
    <row r="95" spans="1:15" x14ac:dyDescent="0.2">
      <c r="A95" t="s">
        <v>58</v>
      </c>
      <c r="B95">
        <v>11</v>
      </c>
      <c r="C95">
        <f t="shared" si="1"/>
        <v>11</v>
      </c>
      <c r="D95">
        <f t="shared" si="1"/>
        <v>11</v>
      </c>
      <c r="E95">
        <f t="shared" si="1"/>
        <v>7</v>
      </c>
      <c r="F95">
        <f t="shared" si="1"/>
        <v>7</v>
      </c>
      <c r="G95">
        <f t="shared" si="1"/>
        <v>3</v>
      </c>
      <c r="H95">
        <f t="shared" si="1"/>
        <v>0</v>
      </c>
      <c r="I95">
        <f t="shared" si="1"/>
        <v>0</v>
      </c>
      <c r="J95">
        <f t="shared" si="1"/>
        <v>0</v>
      </c>
      <c r="K95">
        <v>11</v>
      </c>
    </row>
    <row r="96" spans="1:15" x14ac:dyDescent="0.2">
      <c r="A96" t="s">
        <v>59</v>
      </c>
      <c r="B96">
        <v>11</v>
      </c>
      <c r="C96">
        <f t="shared" si="1"/>
        <v>10</v>
      </c>
      <c r="D96">
        <f t="shared" si="1"/>
        <v>10</v>
      </c>
      <c r="E96">
        <f t="shared" si="1"/>
        <v>6</v>
      </c>
      <c r="F96">
        <f t="shared" si="1"/>
        <v>6</v>
      </c>
      <c r="G96">
        <f t="shared" si="1"/>
        <v>2</v>
      </c>
      <c r="H96">
        <f t="shared" si="1"/>
        <v>0</v>
      </c>
      <c r="I96">
        <f t="shared" si="1"/>
        <v>0</v>
      </c>
      <c r="J96">
        <f t="shared" si="1"/>
        <v>0</v>
      </c>
      <c r="K96">
        <v>11</v>
      </c>
    </row>
    <row r="97" spans="1:11" x14ac:dyDescent="0.2">
      <c r="A97" t="s">
        <v>60</v>
      </c>
      <c r="B97">
        <v>11</v>
      </c>
      <c r="C97">
        <f t="shared" si="1"/>
        <v>12</v>
      </c>
      <c r="D97">
        <f t="shared" si="1"/>
        <v>12</v>
      </c>
      <c r="E97">
        <f t="shared" si="1"/>
        <v>8</v>
      </c>
      <c r="F97">
        <f t="shared" si="1"/>
        <v>8</v>
      </c>
      <c r="G97">
        <f t="shared" si="1"/>
        <v>4</v>
      </c>
      <c r="H97">
        <f t="shared" si="1"/>
        <v>0</v>
      </c>
      <c r="I97">
        <f t="shared" si="1"/>
        <v>0</v>
      </c>
      <c r="J97">
        <f t="shared" si="1"/>
        <v>0</v>
      </c>
      <c r="K97">
        <v>11</v>
      </c>
    </row>
    <row r="98" spans="1:11" x14ac:dyDescent="0.2">
      <c r="A98" t="s">
        <v>61</v>
      </c>
      <c r="B98">
        <v>11</v>
      </c>
      <c r="C98">
        <f t="shared" si="1"/>
        <v>9</v>
      </c>
      <c r="D98">
        <f t="shared" si="1"/>
        <v>1</v>
      </c>
      <c r="E98">
        <f t="shared" si="1"/>
        <v>1</v>
      </c>
      <c r="F98">
        <f t="shared" si="1"/>
        <v>9</v>
      </c>
      <c r="G98">
        <f t="shared" si="1"/>
        <v>9</v>
      </c>
      <c r="H98">
        <f t="shared" si="1"/>
        <v>0</v>
      </c>
      <c r="I98">
        <f t="shared" si="1"/>
        <v>0</v>
      </c>
      <c r="J98">
        <f t="shared" si="1"/>
        <v>0</v>
      </c>
      <c r="K98">
        <v>11</v>
      </c>
    </row>
    <row r="99" spans="1:11" x14ac:dyDescent="0.2">
      <c r="A99" t="s">
        <v>62</v>
      </c>
      <c r="B99">
        <v>11</v>
      </c>
      <c r="C99">
        <f t="shared" si="1"/>
        <v>11</v>
      </c>
      <c r="D99">
        <f t="shared" si="1"/>
        <v>3</v>
      </c>
      <c r="E99">
        <f t="shared" si="1"/>
        <v>3</v>
      </c>
      <c r="F99">
        <f t="shared" si="1"/>
        <v>11</v>
      </c>
      <c r="G99">
        <f t="shared" si="1"/>
        <v>11</v>
      </c>
      <c r="H99">
        <f t="shared" si="1"/>
        <v>0</v>
      </c>
      <c r="I99">
        <f t="shared" si="1"/>
        <v>0</v>
      </c>
      <c r="J99">
        <f t="shared" si="1"/>
        <v>0</v>
      </c>
      <c r="K99">
        <v>11</v>
      </c>
    </row>
    <row r="100" spans="1:11" x14ac:dyDescent="0.2">
      <c r="A100" t="s">
        <v>63</v>
      </c>
      <c r="B100">
        <v>11</v>
      </c>
      <c r="C100">
        <f t="shared" si="1"/>
        <v>10</v>
      </c>
      <c r="D100">
        <f t="shared" si="1"/>
        <v>2</v>
      </c>
      <c r="E100">
        <f t="shared" si="1"/>
        <v>2</v>
      </c>
      <c r="F100">
        <f t="shared" si="1"/>
        <v>10</v>
      </c>
      <c r="G100">
        <f t="shared" si="1"/>
        <v>10</v>
      </c>
      <c r="H100">
        <f t="shared" si="1"/>
        <v>0</v>
      </c>
      <c r="I100">
        <f t="shared" si="1"/>
        <v>0</v>
      </c>
      <c r="J100">
        <f t="shared" si="1"/>
        <v>0</v>
      </c>
      <c r="K100">
        <v>11</v>
      </c>
    </row>
    <row r="101" spans="1:11" x14ac:dyDescent="0.2">
      <c r="A101" t="s">
        <v>64</v>
      </c>
      <c r="B101">
        <v>11</v>
      </c>
      <c r="C101">
        <f t="shared" si="1"/>
        <v>12</v>
      </c>
      <c r="D101">
        <f t="shared" si="1"/>
        <v>4</v>
      </c>
      <c r="E101">
        <f t="shared" si="1"/>
        <v>4</v>
      </c>
      <c r="F101">
        <f t="shared" si="1"/>
        <v>12</v>
      </c>
      <c r="G101">
        <f t="shared" si="1"/>
        <v>12</v>
      </c>
      <c r="H101">
        <f t="shared" si="1"/>
        <v>0</v>
      </c>
      <c r="I101">
        <f t="shared" si="1"/>
        <v>0</v>
      </c>
      <c r="J101">
        <f t="shared" si="1"/>
        <v>0</v>
      </c>
      <c r="K101">
        <v>11</v>
      </c>
    </row>
    <row r="105" spans="1:11" ht="25.5" x14ac:dyDescent="0.5">
      <c r="A105" s="27" t="s">
        <v>69</v>
      </c>
    </row>
    <row r="106" spans="1:11" ht="19.5" x14ac:dyDescent="0.35">
      <c r="B106" s="34" t="s">
        <v>38</v>
      </c>
      <c r="C106" s="34">
        <v>1</v>
      </c>
      <c r="D106" s="34">
        <v>2</v>
      </c>
      <c r="E106" s="34">
        <v>3</v>
      </c>
      <c r="F106" s="34">
        <v>4</v>
      </c>
      <c r="G106" s="34">
        <v>5</v>
      </c>
      <c r="H106" s="34">
        <v>6</v>
      </c>
      <c r="I106" s="34">
        <v>7</v>
      </c>
      <c r="J106" s="34">
        <v>8</v>
      </c>
      <c r="K106" s="34" t="s">
        <v>39</v>
      </c>
    </row>
    <row r="107" spans="1:11" x14ac:dyDescent="0.2">
      <c r="A107" t="s">
        <v>42</v>
      </c>
      <c r="B107">
        <v>11</v>
      </c>
      <c r="C107">
        <f>IF(C78=0,B107,C78)</f>
        <v>1</v>
      </c>
      <c r="D107">
        <f>IF(D78=0,C107,D78)</f>
        <v>1</v>
      </c>
      <c r="E107">
        <f>IF(E78=0,D107,E78)</f>
        <v>9</v>
      </c>
      <c r="F107">
        <f t="shared" ref="F107:J107" si="2">IF(F78=0,E107,F78)</f>
        <v>1</v>
      </c>
      <c r="G107">
        <f t="shared" si="2"/>
        <v>9</v>
      </c>
      <c r="H107">
        <f t="shared" si="2"/>
        <v>1</v>
      </c>
      <c r="I107">
        <f t="shared" si="2"/>
        <v>5</v>
      </c>
      <c r="J107">
        <f t="shared" si="2"/>
        <v>7</v>
      </c>
      <c r="K107">
        <v>11</v>
      </c>
    </row>
    <row r="108" spans="1:11" x14ac:dyDescent="0.2">
      <c r="A108" t="s">
        <v>29</v>
      </c>
      <c r="B108">
        <v>11</v>
      </c>
      <c r="C108">
        <f t="shared" ref="C108:J130" si="3">IF(C79=0,B108,C79)</f>
        <v>3</v>
      </c>
      <c r="D108">
        <f t="shared" si="3"/>
        <v>3</v>
      </c>
      <c r="E108">
        <f t="shared" si="3"/>
        <v>11</v>
      </c>
      <c r="F108">
        <f t="shared" si="3"/>
        <v>3</v>
      </c>
      <c r="G108">
        <f t="shared" si="3"/>
        <v>11</v>
      </c>
      <c r="H108">
        <f t="shared" si="3"/>
        <v>2</v>
      </c>
      <c r="I108">
        <f t="shared" si="3"/>
        <v>6</v>
      </c>
      <c r="J108">
        <f t="shared" si="3"/>
        <v>7</v>
      </c>
      <c r="K108">
        <v>11</v>
      </c>
    </row>
    <row r="109" spans="1:11" x14ac:dyDescent="0.2">
      <c r="A109" t="s">
        <v>43</v>
      </c>
      <c r="B109">
        <v>11</v>
      </c>
      <c r="C109">
        <f t="shared" si="3"/>
        <v>2</v>
      </c>
      <c r="D109">
        <f t="shared" si="3"/>
        <v>2</v>
      </c>
      <c r="E109">
        <f t="shared" si="3"/>
        <v>10</v>
      </c>
      <c r="F109">
        <f t="shared" si="3"/>
        <v>2</v>
      </c>
      <c r="G109">
        <f t="shared" si="3"/>
        <v>10</v>
      </c>
      <c r="H109">
        <f t="shared" si="3"/>
        <v>3</v>
      </c>
      <c r="I109">
        <f t="shared" si="3"/>
        <v>6</v>
      </c>
      <c r="J109">
        <f t="shared" si="3"/>
        <v>6</v>
      </c>
      <c r="K109">
        <v>11</v>
      </c>
    </row>
    <row r="110" spans="1:11" x14ac:dyDescent="0.2">
      <c r="A110" t="s">
        <v>44</v>
      </c>
      <c r="B110">
        <v>11</v>
      </c>
      <c r="C110">
        <f t="shared" si="3"/>
        <v>4</v>
      </c>
      <c r="D110">
        <f t="shared" si="3"/>
        <v>4</v>
      </c>
      <c r="E110">
        <f t="shared" si="3"/>
        <v>12</v>
      </c>
      <c r="F110">
        <f t="shared" si="3"/>
        <v>4</v>
      </c>
      <c r="G110">
        <f t="shared" si="3"/>
        <v>12</v>
      </c>
      <c r="H110">
        <f t="shared" si="3"/>
        <v>4</v>
      </c>
      <c r="I110">
        <f t="shared" si="3"/>
        <v>5</v>
      </c>
      <c r="J110">
        <f t="shared" si="3"/>
        <v>5</v>
      </c>
      <c r="K110">
        <v>11</v>
      </c>
    </row>
    <row r="111" spans="1:11" x14ac:dyDescent="0.2">
      <c r="A111" t="s">
        <v>45</v>
      </c>
      <c r="B111">
        <v>11</v>
      </c>
      <c r="C111">
        <f t="shared" si="3"/>
        <v>1</v>
      </c>
      <c r="D111">
        <f t="shared" si="3"/>
        <v>5</v>
      </c>
      <c r="E111">
        <f t="shared" si="3"/>
        <v>5</v>
      </c>
      <c r="F111">
        <f t="shared" si="3"/>
        <v>1</v>
      </c>
      <c r="G111">
        <f t="shared" si="3"/>
        <v>5</v>
      </c>
      <c r="H111">
        <f t="shared" si="3"/>
        <v>4</v>
      </c>
      <c r="I111">
        <f t="shared" si="3"/>
        <v>4</v>
      </c>
      <c r="J111">
        <f t="shared" si="3"/>
        <v>4</v>
      </c>
      <c r="K111">
        <v>11</v>
      </c>
    </row>
    <row r="112" spans="1:11" x14ac:dyDescent="0.2">
      <c r="A112" t="s">
        <v>46</v>
      </c>
      <c r="B112">
        <v>11</v>
      </c>
      <c r="C112">
        <f t="shared" si="3"/>
        <v>3</v>
      </c>
      <c r="D112">
        <f t="shared" si="3"/>
        <v>7</v>
      </c>
      <c r="E112">
        <f t="shared" si="3"/>
        <v>7</v>
      </c>
      <c r="F112">
        <f t="shared" si="3"/>
        <v>3</v>
      </c>
      <c r="G112">
        <f t="shared" si="3"/>
        <v>7</v>
      </c>
      <c r="H112">
        <f t="shared" si="3"/>
        <v>3</v>
      </c>
      <c r="I112">
        <f t="shared" si="3"/>
        <v>3</v>
      </c>
      <c r="J112">
        <f t="shared" si="3"/>
        <v>3</v>
      </c>
      <c r="K112">
        <v>11</v>
      </c>
    </row>
    <row r="113" spans="1:11" x14ac:dyDescent="0.2">
      <c r="A113" t="s">
        <v>47</v>
      </c>
      <c r="B113">
        <v>11</v>
      </c>
      <c r="C113">
        <f t="shared" si="3"/>
        <v>2</v>
      </c>
      <c r="D113">
        <f t="shared" si="3"/>
        <v>6</v>
      </c>
      <c r="E113">
        <f t="shared" si="3"/>
        <v>6</v>
      </c>
      <c r="F113">
        <f t="shared" si="3"/>
        <v>2</v>
      </c>
      <c r="G113">
        <f t="shared" si="3"/>
        <v>6</v>
      </c>
      <c r="H113">
        <f t="shared" si="3"/>
        <v>2</v>
      </c>
      <c r="I113">
        <f t="shared" si="3"/>
        <v>2</v>
      </c>
      <c r="J113">
        <f t="shared" si="3"/>
        <v>2</v>
      </c>
      <c r="K113">
        <v>11</v>
      </c>
    </row>
    <row r="114" spans="1:11" x14ac:dyDescent="0.2">
      <c r="A114" t="s">
        <v>48</v>
      </c>
      <c r="B114">
        <v>11</v>
      </c>
      <c r="C114">
        <f t="shared" si="3"/>
        <v>4</v>
      </c>
      <c r="D114">
        <f t="shared" si="3"/>
        <v>8</v>
      </c>
      <c r="E114">
        <f t="shared" si="3"/>
        <v>8</v>
      </c>
      <c r="F114">
        <f t="shared" si="3"/>
        <v>4</v>
      </c>
      <c r="G114">
        <f t="shared" si="3"/>
        <v>8</v>
      </c>
      <c r="H114">
        <f t="shared" si="3"/>
        <v>1</v>
      </c>
      <c r="I114">
        <f t="shared" si="3"/>
        <v>1</v>
      </c>
      <c r="J114">
        <f t="shared" si="3"/>
        <v>1</v>
      </c>
      <c r="K114">
        <v>11</v>
      </c>
    </row>
    <row r="115" spans="1:11" x14ac:dyDescent="0.2">
      <c r="A115" t="s">
        <v>49</v>
      </c>
      <c r="B115">
        <v>11</v>
      </c>
      <c r="C115">
        <f t="shared" si="3"/>
        <v>5</v>
      </c>
      <c r="D115">
        <f t="shared" si="3"/>
        <v>1</v>
      </c>
      <c r="E115">
        <f t="shared" si="3"/>
        <v>9</v>
      </c>
      <c r="F115">
        <f t="shared" si="3"/>
        <v>9</v>
      </c>
      <c r="G115">
        <f t="shared" si="3"/>
        <v>5</v>
      </c>
      <c r="H115">
        <f t="shared" si="3"/>
        <v>5</v>
      </c>
      <c r="I115">
        <f t="shared" si="3"/>
        <v>5</v>
      </c>
      <c r="J115">
        <f t="shared" si="3"/>
        <v>5</v>
      </c>
      <c r="K115">
        <v>11</v>
      </c>
    </row>
    <row r="116" spans="1:11" x14ac:dyDescent="0.2">
      <c r="A116" t="s">
        <v>50</v>
      </c>
      <c r="B116">
        <v>11</v>
      </c>
      <c r="C116">
        <f t="shared" si="3"/>
        <v>7</v>
      </c>
      <c r="D116">
        <f t="shared" si="3"/>
        <v>3</v>
      </c>
      <c r="E116">
        <f t="shared" si="3"/>
        <v>11</v>
      </c>
      <c r="F116">
        <f t="shared" si="3"/>
        <v>11</v>
      </c>
      <c r="G116">
        <f t="shared" si="3"/>
        <v>7</v>
      </c>
      <c r="H116">
        <f t="shared" si="3"/>
        <v>7</v>
      </c>
      <c r="I116">
        <f t="shared" si="3"/>
        <v>7</v>
      </c>
      <c r="J116">
        <f t="shared" si="3"/>
        <v>7</v>
      </c>
      <c r="K116">
        <v>11</v>
      </c>
    </row>
    <row r="117" spans="1:11" x14ac:dyDescent="0.2">
      <c r="A117" t="s">
        <v>51</v>
      </c>
      <c r="B117">
        <v>11</v>
      </c>
      <c r="C117">
        <f t="shared" si="3"/>
        <v>6</v>
      </c>
      <c r="D117">
        <f t="shared" si="3"/>
        <v>2</v>
      </c>
      <c r="E117">
        <f t="shared" si="3"/>
        <v>10</v>
      </c>
      <c r="F117">
        <f t="shared" si="3"/>
        <v>10</v>
      </c>
      <c r="G117">
        <f t="shared" si="3"/>
        <v>6</v>
      </c>
      <c r="H117">
        <f t="shared" si="3"/>
        <v>6</v>
      </c>
      <c r="I117">
        <f t="shared" si="3"/>
        <v>6</v>
      </c>
      <c r="J117">
        <f t="shared" si="3"/>
        <v>6</v>
      </c>
      <c r="K117">
        <v>11</v>
      </c>
    </row>
    <row r="118" spans="1:11" x14ac:dyDescent="0.2">
      <c r="A118" t="s">
        <v>52</v>
      </c>
      <c r="B118">
        <v>11</v>
      </c>
      <c r="C118">
        <f t="shared" si="3"/>
        <v>8</v>
      </c>
      <c r="D118">
        <f t="shared" si="3"/>
        <v>4</v>
      </c>
      <c r="E118">
        <f t="shared" si="3"/>
        <v>12</v>
      </c>
      <c r="F118">
        <f t="shared" si="3"/>
        <v>12</v>
      </c>
      <c r="G118">
        <f t="shared" si="3"/>
        <v>8</v>
      </c>
      <c r="H118">
        <f t="shared" si="3"/>
        <v>8</v>
      </c>
      <c r="I118">
        <f t="shared" si="3"/>
        <v>8</v>
      </c>
      <c r="J118">
        <f t="shared" si="3"/>
        <v>8</v>
      </c>
      <c r="K118">
        <v>11</v>
      </c>
    </row>
    <row r="119" spans="1:11" x14ac:dyDescent="0.2">
      <c r="A119" t="s">
        <v>53</v>
      </c>
      <c r="B119">
        <v>11</v>
      </c>
      <c r="C119">
        <f t="shared" si="3"/>
        <v>5</v>
      </c>
      <c r="D119">
        <f t="shared" si="3"/>
        <v>5</v>
      </c>
      <c r="E119">
        <f t="shared" si="3"/>
        <v>1</v>
      </c>
      <c r="F119">
        <f t="shared" si="3"/>
        <v>9</v>
      </c>
      <c r="G119">
        <f t="shared" si="3"/>
        <v>5</v>
      </c>
      <c r="H119">
        <f t="shared" si="3"/>
        <v>5</v>
      </c>
      <c r="I119">
        <f t="shared" si="3"/>
        <v>5</v>
      </c>
      <c r="J119">
        <f t="shared" si="3"/>
        <v>5</v>
      </c>
      <c r="K119">
        <v>11</v>
      </c>
    </row>
    <row r="120" spans="1:11" x14ac:dyDescent="0.2">
      <c r="A120" t="s">
        <v>54</v>
      </c>
      <c r="B120">
        <v>11</v>
      </c>
      <c r="C120">
        <f t="shared" si="3"/>
        <v>7</v>
      </c>
      <c r="D120">
        <f t="shared" si="3"/>
        <v>7</v>
      </c>
      <c r="E120">
        <f t="shared" si="3"/>
        <v>3</v>
      </c>
      <c r="F120">
        <f t="shared" si="3"/>
        <v>11</v>
      </c>
      <c r="G120">
        <f t="shared" si="3"/>
        <v>7</v>
      </c>
      <c r="H120">
        <f t="shared" si="3"/>
        <v>7</v>
      </c>
      <c r="I120">
        <f t="shared" si="3"/>
        <v>7</v>
      </c>
      <c r="J120">
        <f t="shared" si="3"/>
        <v>7</v>
      </c>
      <c r="K120">
        <v>11</v>
      </c>
    </row>
    <row r="121" spans="1:11" x14ac:dyDescent="0.2">
      <c r="A121" t="s">
        <v>55</v>
      </c>
      <c r="B121">
        <v>11</v>
      </c>
      <c r="C121">
        <f t="shared" si="3"/>
        <v>6</v>
      </c>
      <c r="D121">
        <f t="shared" si="3"/>
        <v>6</v>
      </c>
      <c r="E121">
        <f t="shared" si="3"/>
        <v>2</v>
      </c>
      <c r="F121">
        <f t="shared" si="3"/>
        <v>10</v>
      </c>
      <c r="G121">
        <f t="shared" si="3"/>
        <v>6</v>
      </c>
      <c r="H121">
        <f t="shared" si="3"/>
        <v>6</v>
      </c>
      <c r="I121">
        <f t="shared" si="3"/>
        <v>6</v>
      </c>
      <c r="J121">
        <f t="shared" si="3"/>
        <v>6</v>
      </c>
      <c r="K121">
        <v>11</v>
      </c>
    </row>
    <row r="122" spans="1:11" x14ac:dyDescent="0.2">
      <c r="A122" t="s">
        <v>56</v>
      </c>
      <c r="B122">
        <v>11</v>
      </c>
      <c r="C122">
        <f t="shared" si="3"/>
        <v>8</v>
      </c>
      <c r="D122">
        <f t="shared" si="3"/>
        <v>8</v>
      </c>
      <c r="E122">
        <f t="shared" si="3"/>
        <v>4</v>
      </c>
      <c r="F122">
        <f t="shared" si="3"/>
        <v>12</v>
      </c>
      <c r="G122">
        <f t="shared" si="3"/>
        <v>8</v>
      </c>
      <c r="H122">
        <f t="shared" si="3"/>
        <v>8</v>
      </c>
      <c r="I122">
        <f t="shared" si="3"/>
        <v>8</v>
      </c>
      <c r="J122">
        <f t="shared" si="3"/>
        <v>8</v>
      </c>
      <c r="K122">
        <v>11</v>
      </c>
    </row>
    <row r="123" spans="1:11" x14ac:dyDescent="0.2">
      <c r="A123" t="s">
        <v>57</v>
      </c>
      <c r="B123">
        <v>11</v>
      </c>
      <c r="C123">
        <f t="shared" si="3"/>
        <v>9</v>
      </c>
      <c r="D123">
        <f t="shared" si="3"/>
        <v>9</v>
      </c>
      <c r="E123">
        <f t="shared" si="3"/>
        <v>5</v>
      </c>
      <c r="F123">
        <f t="shared" si="3"/>
        <v>5</v>
      </c>
      <c r="G123">
        <f t="shared" si="3"/>
        <v>1</v>
      </c>
      <c r="H123">
        <f t="shared" si="3"/>
        <v>1</v>
      </c>
      <c r="I123">
        <f t="shared" si="3"/>
        <v>1</v>
      </c>
      <c r="J123">
        <f t="shared" si="3"/>
        <v>1</v>
      </c>
      <c r="K123">
        <v>11</v>
      </c>
    </row>
    <row r="124" spans="1:11" x14ac:dyDescent="0.2">
      <c r="A124" t="s">
        <v>58</v>
      </c>
      <c r="B124">
        <v>11</v>
      </c>
      <c r="C124">
        <f t="shared" si="3"/>
        <v>11</v>
      </c>
      <c r="D124">
        <f t="shared" si="3"/>
        <v>11</v>
      </c>
      <c r="E124">
        <f t="shared" si="3"/>
        <v>7</v>
      </c>
      <c r="F124">
        <f t="shared" si="3"/>
        <v>7</v>
      </c>
      <c r="G124">
        <f t="shared" si="3"/>
        <v>3</v>
      </c>
      <c r="H124">
        <f t="shared" si="3"/>
        <v>3</v>
      </c>
      <c r="I124">
        <f t="shared" si="3"/>
        <v>3</v>
      </c>
      <c r="J124">
        <f t="shared" si="3"/>
        <v>3</v>
      </c>
      <c r="K124">
        <v>11</v>
      </c>
    </row>
    <row r="125" spans="1:11" x14ac:dyDescent="0.2">
      <c r="A125" t="s">
        <v>59</v>
      </c>
      <c r="B125">
        <v>11</v>
      </c>
      <c r="C125">
        <f t="shared" si="3"/>
        <v>10</v>
      </c>
      <c r="D125">
        <f t="shared" si="3"/>
        <v>10</v>
      </c>
      <c r="E125">
        <f t="shared" si="3"/>
        <v>6</v>
      </c>
      <c r="F125">
        <f t="shared" si="3"/>
        <v>6</v>
      </c>
      <c r="G125">
        <f t="shared" si="3"/>
        <v>2</v>
      </c>
      <c r="H125">
        <f t="shared" si="3"/>
        <v>2</v>
      </c>
      <c r="I125">
        <f t="shared" si="3"/>
        <v>2</v>
      </c>
      <c r="J125">
        <f t="shared" si="3"/>
        <v>2</v>
      </c>
      <c r="K125">
        <v>11</v>
      </c>
    </row>
    <row r="126" spans="1:11" x14ac:dyDescent="0.2">
      <c r="A126" t="s">
        <v>60</v>
      </c>
      <c r="B126">
        <v>11</v>
      </c>
      <c r="C126">
        <f t="shared" si="3"/>
        <v>12</v>
      </c>
      <c r="D126">
        <f t="shared" si="3"/>
        <v>12</v>
      </c>
      <c r="E126">
        <f t="shared" si="3"/>
        <v>8</v>
      </c>
      <c r="F126">
        <f t="shared" si="3"/>
        <v>8</v>
      </c>
      <c r="G126">
        <f t="shared" si="3"/>
        <v>4</v>
      </c>
      <c r="H126">
        <f t="shared" si="3"/>
        <v>4</v>
      </c>
      <c r="I126">
        <f t="shared" si="3"/>
        <v>4</v>
      </c>
      <c r="J126">
        <f t="shared" si="3"/>
        <v>4</v>
      </c>
      <c r="K126">
        <v>11</v>
      </c>
    </row>
    <row r="127" spans="1:11" x14ac:dyDescent="0.2">
      <c r="A127" t="s">
        <v>61</v>
      </c>
      <c r="B127">
        <v>11</v>
      </c>
      <c r="C127">
        <f t="shared" si="3"/>
        <v>9</v>
      </c>
      <c r="D127">
        <f t="shared" si="3"/>
        <v>1</v>
      </c>
      <c r="E127">
        <f t="shared" si="3"/>
        <v>1</v>
      </c>
      <c r="F127">
        <f t="shared" si="3"/>
        <v>9</v>
      </c>
      <c r="G127">
        <f t="shared" si="3"/>
        <v>9</v>
      </c>
      <c r="H127">
        <f t="shared" si="3"/>
        <v>9</v>
      </c>
      <c r="I127">
        <f t="shared" si="3"/>
        <v>9</v>
      </c>
      <c r="J127">
        <f t="shared" si="3"/>
        <v>9</v>
      </c>
      <c r="K127">
        <v>11</v>
      </c>
    </row>
    <row r="128" spans="1:11" x14ac:dyDescent="0.2">
      <c r="A128" t="s">
        <v>62</v>
      </c>
      <c r="B128">
        <v>11</v>
      </c>
      <c r="C128">
        <f t="shared" si="3"/>
        <v>11</v>
      </c>
      <c r="D128">
        <f t="shared" si="3"/>
        <v>3</v>
      </c>
      <c r="E128">
        <f t="shared" si="3"/>
        <v>3</v>
      </c>
      <c r="F128">
        <f t="shared" si="3"/>
        <v>11</v>
      </c>
      <c r="G128">
        <f t="shared" si="3"/>
        <v>11</v>
      </c>
      <c r="H128">
        <f t="shared" si="3"/>
        <v>11</v>
      </c>
      <c r="I128">
        <f t="shared" si="3"/>
        <v>11</v>
      </c>
      <c r="J128">
        <f t="shared" si="3"/>
        <v>11</v>
      </c>
      <c r="K128">
        <v>11</v>
      </c>
    </row>
    <row r="129" spans="1:12" x14ac:dyDescent="0.2">
      <c r="A129" t="s">
        <v>63</v>
      </c>
      <c r="B129">
        <v>11</v>
      </c>
      <c r="C129">
        <f t="shared" si="3"/>
        <v>10</v>
      </c>
      <c r="D129">
        <f t="shared" si="3"/>
        <v>2</v>
      </c>
      <c r="E129">
        <f t="shared" si="3"/>
        <v>2</v>
      </c>
      <c r="F129">
        <f t="shared" si="3"/>
        <v>10</v>
      </c>
      <c r="G129">
        <f t="shared" si="3"/>
        <v>10</v>
      </c>
      <c r="H129">
        <f t="shared" si="3"/>
        <v>10</v>
      </c>
      <c r="I129">
        <f t="shared" si="3"/>
        <v>10</v>
      </c>
      <c r="J129">
        <f t="shared" si="3"/>
        <v>10</v>
      </c>
      <c r="K129">
        <v>11</v>
      </c>
    </row>
    <row r="130" spans="1:12" x14ac:dyDescent="0.2">
      <c r="A130" t="s">
        <v>64</v>
      </c>
      <c r="B130">
        <v>11</v>
      </c>
      <c r="C130">
        <f t="shared" si="3"/>
        <v>12</v>
      </c>
      <c r="D130">
        <f t="shared" si="3"/>
        <v>4</v>
      </c>
      <c r="E130">
        <f t="shared" si="3"/>
        <v>4</v>
      </c>
      <c r="F130">
        <f t="shared" si="3"/>
        <v>12</v>
      </c>
      <c r="G130">
        <f t="shared" si="3"/>
        <v>12</v>
      </c>
      <c r="H130">
        <f t="shared" si="3"/>
        <v>12</v>
      </c>
      <c r="I130">
        <f t="shared" si="3"/>
        <v>12</v>
      </c>
      <c r="J130">
        <f t="shared" si="3"/>
        <v>12</v>
      </c>
      <c r="K130">
        <v>11</v>
      </c>
    </row>
    <row r="134" spans="1:12" ht="25.5" x14ac:dyDescent="0.5">
      <c r="A134" s="27" t="s">
        <v>67</v>
      </c>
    </row>
    <row r="135" spans="1:12" ht="19.5" x14ac:dyDescent="0.35">
      <c r="B135" s="34" t="s">
        <v>38</v>
      </c>
      <c r="C135" s="34">
        <v>1</v>
      </c>
      <c r="D135" s="34">
        <v>2</v>
      </c>
      <c r="E135" s="34">
        <v>3</v>
      </c>
      <c r="F135" s="34">
        <v>4</v>
      </c>
      <c r="G135" s="34">
        <v>5</v>
      </c>
      <c r="H135" s="34">
        <v>6</v>
      </c>
      <c r="I135" s="34">
        <v>7</v>
      </c>
      <c r="J135" s="34">
        <v>8</v>
      </c>
      <c r="K135" s="34" t="s">
        <v>40</v>
      </c>
      <c r="L135" s="34" t="s">
        <v>28</v>
      </c>
    </row>
    <row r="136" spans="1:12" x14ac:dyDescent="0.2">
      <c r="A136" t="s">
        <v>42</v>
      </c>
      <c r="B136" s="31">
        <v>0</v>
      </c>
      <c r="C136" s="31" cm="1">
        <f t="array" ref="C136">INDEX(Raw_Data!$H$7:$S$18,MIN(Calculation_Engine!B107:C107),MAX(Calculation_Engine!B107:C107))</f>
        <v>118</v>
      </c>
      <c r="D136" s="31" cm="1">
        <f t="array" ref="D136">INDEX(Raw_Data!$H$7:$S$18,MIN(Calculation_Engine!C107:D107),MAX(Calculation_Engine!C107:D107))</f>
        <v>0</v>
      </c>
      <c r="E136" s="31" cm="1">
        <f t="array" ref="E136">INDEX(Raw_Data!$H$7:$S$18,MIN(Calculation_Engine!D107:E107),MAX(Calculation_Engine!D107:E107))</f>
        <v>114</v>
      </c>
      <c r="F136" s="31" cm="1">
        <f t="array" ref="F136">INDEX(Raw_Data!$H$7:$S$18,MIN(Calculation_Engine!E107:F107),MAX(Calculation_Engine!E107:F107))</f>
        <v>114</v>
      </c>
      <c r="G136" s="31" cm="1">
        <f t="array" ref="G136">INDEX(Raw_Data!$H$7:$S$18,MIN(Calculation_Engine!F107:G107),MAX(Calculation_Engine!F107:G107))</f>
        <v>114</v>
      </c>
      <c r="H136" s="31" cm="1">
        <f t="array" ref="H136">INDEX(Raw_Data!$H$7:$S$18,MIN(Calculation_Engine!G107:H107),MAX(Calculation_Engine!G107:H107))</f>
        <v>114</v>
      </c>
      <c r="I136" s="31" cm="1">
        <f t="array" ref="I136">INDEX(Raw_Data!$H$7:$S$18,MIN(Calculation_Engine!H107:I107),MAX(Calculation_Engine!H107:I107))</f>
        <v>180</v>
      </c>
      <c r="J136" s="31" cm="1">
        <f t="array" ref="J136">INDEX(Raw_Data!$H$7:$S$18,MIN(Calculation_Engine!I107:J107),MAX(Calculation_Engine!I107:J107))</f>
        <v>141</v>
      </c>
      <c r="K136" s="31" cm="1">
        <f t="array" ref="K136">INDEX(Raw_Data!$H$7:$S$18,MIN(Calculation_Engine!J107:K107),MAX(Calculation_Engine!J107:K107))</f>
        <v>235</v>
      </c>
      <c r="L136" s="31">
        <f>SUM(B136:K136)</f>
        <v>1130</v>
      </c>
    </row>
    <row r="137" spans="1:12" x14ac:dyDescent="0.2">
      <c r="A137" t="s">
        <v>29</v>
      </c>
      <c r="B137" s="31">
        <v>0</v>
      </c>
      <c r="C137" s="31" cm="1">
        <f t="array" ref="C137">INDEX(Raw_Data!$H$7:$S$18,MIN(Calculation_Engine!B108:C108),MAX(Calculation_Engine!B108:C108))</f>
        <v>238</v>
      </c>
      <c r="D137" s="31" cm="1">
        <f t="array" ref="D137">INDEX(Raw_Data!$H$7:$S$18,MIN(Calculation_Engine!C108:D108),MAX(Calculation_Engine!C108:D108))</f>
        <v>0</v>
      </c>
      <c r="E137" s="31" cm="1">
        <f t="array" ref="E137">INDEX(Raw_Data!$H$7:$S$18,MIN(Calculation_Engine!D108:E108),MAX(Calculation_Engine!D108:E108))</f>
        <v>238</v>
      </c>
      <c r="F137" s="31" cm="1">
        <f t="array" ref="F137">INDEX(Raw_Data!$H$7:$S$18,MIN(Calculation_Engine!E108:F108),MAX(Calculation_Engine!E108:F108))</f>
        <v>238</v>
      </c>
      <c r="G137" s="31" cm="1">
        <f t="array" ref="G137">INDEX(Raw_Data!$H$7:$S$18,MIN(Calculation_Engine!F108:G108),MAX(Calculation_Engine!F108:G108))</f>
        <v>238</v>
      </c>
      <c r="H137" s="31" cm="1">
        <f t="array" ref="H137">INDEX(Raw_Data!$H$7:$S$18,MIN(Calculation_Engine!G108:H108),MAX(Calculation_Engine!G108:H108))</f>
        <v>150</v>
      </c>
      <c r="I137" s="31" cm="1">
        <f t="array" ref="I137">INDEX(Raw_Data!$H$7:$S$18,MIN(Calculation_Engine!H108:I108),MAX(Calculation_Engine!H108:I108))</f>
        <v>233</v>
      </c>
      <c r="J137" s="31" cm="1">
        <f t="array" ref="J137">INDEX(Raw_Data!$H$7:$S$18,MIN(Calculation_Engine!I108:J108),MAX(Calculation_Engine!I108:J108))</f>
        <v>112</v>
      </c>
      <c r="K137" s="31" cm="1">
        <f t="array" ref="K137">INDEX(Raw_Data!$H$7:$S$18,MIN(Calculation_Engine!J108:K108),MAX(Calculation_Engine!J108:K108))</f>
        <v>235</v>
      </c>
      <c r="L137" s="31">
        <f t="shared" ref="L137:L159" si="4">SUM(B137:K137)</f>
        <v>1682</v>
      </c>
    </row>
    <row r="138" spans="1:12" x14ac:dyDescent="0.2">
      <c r="A138" t="s">
        <v>43</v>
      </c>
      <c r="B138" s="31">
        <v>0</v>
      </c>
      <c r="C138" s="31" cm="1">
        <f t="array" ref="C138">INDEX(Raw_Data!$H$7:$S$18,MIN(Calculation_Engine!B109:C109),MAX(Calculation_Engine!B109:C109))</f>
        <v>150</v>
      </c>
      <c r="D138" s="31" cm="1">
        <f t="array" ref="D138">INDEX(Raw_Data!$H$7:$S$18,MIN(Calculation_Engine!C109:D109),MAX(Calculation_Engine!C109:D109))</f>
        <v>0</v>
      </c>
      <c r="E138" s="31" cm="1">
        <f t="array" ref="E138">INDEX(Raw_Data!$H$7:$S$18,MIN(Calculation_Engine!D109:E109),MAX(Calculation_Engine!D109:E109))</f>
        <v>208</v>
      </c>
      <c r="F138" s="31" cm="1">
        <f t="array" ref="F138">INDEX(Raw_Data!$H$7:$S$18,MIN(Calculation_Engine!E109:F109),MAX(Calculation_Engine!E109:F109))</f>
        <v>208</v>
      </c>
      <c r="G138" s="31" cm="1">
        <f t="array" ref="G138">INDEX(Raw_Data!$H$7:$S$18,MIN(Calculation_Engine!F109:G109),MAX(Calculation_Engine!F109:G109))</f>
        <v>208</v>
      </c>
      <c r="H138" s="31" cm="1">
        <f t="array" ref="H138">INDEX(Raw_Data!$H$7:$S$18,MIN(Calculation_Engine!G109:H109),MAX(Calculation_Engine!G109:H109))</f>
        <v>214</v>
      </c>
      <c r="I138" s="31" cm="1">
        <f t="array" ref="I138">INDEX(Raw_Data!$H$7:$S$18,MIN(Calculation_Engine!H109:I109),MAX(Calculation_Engine!H109:I109))</f>
        <v>150</v>
      </c>
      <c r="J138" s="31" cm="1">
        <f t="array" ref="J138">INDEX(Raw_Data!$H$7:$S$18,MIN(Calculation_Engine!I109:J109),MAX(Calculation_Engine!I109:J109))</f>
        <v>0</v>
      </c>
      <c r="K138" s="31" cm="1">
        <f t="array" ref="K138">INDEX(Raw_Data!$H$7:$S$18,MIN(Calculation_Engine!J109:K109),MAX(Calculation_Engine!J109:K109))</f>
        <v>237</v>
      </c>
      <c r="L138" s="31">
        <f t="shared" si="4"/>
        <v>1375</v>
      </c>
    </row>
    <row r="139" spans="1:12" x14ac:dyDescent="0.2">
      <c r="A139" t="s">
        <v>44</v>
      </c>
      <c r="B139" s="31">
        <v>0</v>
      </c>
      <c r="C139" s="31" cm="1">
        <f t="array" ref="C139">INDEX(Raw_Data!$H$7:$S$18,MIN(Calculation_Engine!B110:C110),MAX(Calculation_Engine!B110:C110))</f>
        <v>218</v>
      </c>
      <c r="D139" s="31" cm="1">
        <f t="array" ref="D139">INDEX(Raw_Data!$H$7:$S$18,MIN(Calculation_Engine!C110:D110),MAX(Calculation_Engine!C110:D110))</f>
        <v>0</v>
      </c>
      <c r="E139" s="31" cm="1">
        <f t="array" ref="E139">INDEX(Raw_Data!$H$7:$S$18,MIN(Calculation_Engine!D110:E110),MAX(Calculation_Engine!D110:E110))</f>
        <v>230</v>
      </c>
      <c r="F139" s="31" cm="1">
        <f t="array" ref="F139">INDEX(Raw_Data!$H$7:$S$18,MIN(Calculation_Engine!E110:F110),MAX(Calculation_Engine!E110:F110))</f>
        <v>230</v>
      </c>
      <c r="G139" s="31" cm="1">
        <f t="array" ref="G139">INDEX(Raw_Data!$H$7:$S$18,MIN(Calculation_Engine!F110:G110),MAX(Calculation_Engine!F110:G110))</f>
        <v>230</v>
      </c>
      <c r="H139" s="31" cm="1">
        <f t="array" ref="H139">INDEX(Raw_Data!$H$7:$S$18,MIN(Calculation_Engine!G110:H110),MAX(Calculation_Engine!G110:H110))</f>
        <v>230</v>
      </c>
      <c r="I139" s="31" cm="1">
        <f t="array" ref="I139">INDEX(Raw_Data!$H$7:$S$18,MIN(Calculation_Engine!H110:I110),MAX(Calculation_Engine!H110:I110))</f>
        <v>104</v>
      </c>
      <c r="J139" s="31" cm="1">
        <f t="array" ref="J139">INDEX(Raw_Data!$H$7:$S$18,MIN(Calculation_Engine!I110:J110),MAX(Calculation_Engine!I110:J110))</f>
        <v>0</v>
      </c>
      <c r="K139" s="31" cm="1">
        <f t="array" ref="K139">INDEX(Raw_Data!$H$7:$S$18,MIN(Calculation_Engine!J110:K110),MAX(Calculation_Engine!J110:K110))</f>
        <v>172</v>
      </c>
      <c r="L139" s="31">
        <f t="shared" si="4"/>
        <v>1414</v>
      </c>
    </row>
    <row r="140" spans="1:12" x14ac:dyDescent="0.2">
      <c r="A140" t="s">
        <v>45</v>
      </c>
      <c r="B140" s="31">
        <v>0</v>
      </c>
      <c r="C140" s="31" cm="1">
        <f t="array" ref="C140">INDEX(Raw_Data!$H$7:$S$18,MIN(Calculation_Engine!B111:C111),MAX(Calculation_Engine!B111:C111))</f>
        <v>118</v>
      </c>
      <c r="D140" s="31" cm="1">
        <f t="array" ref="D140">INDEX(Raw_Data!$H$7:$S$18,MIN(Calculation_Engine!C111:D111),MAX(Calculation_Engine!C111:D111))</f>
        <v>180</v>
      </c>
      <c r="E140" s="31" cm="1">
        <f t="array" ref="E140">INDEX(Raw_Data!$H$7:$S$18,MIN(Calculation_Engine!D111:E111),MAX(Calculation_Engine!D111:E111))</f>
        <v>0</v>
      </c>
      <c r="F140" s="31" cm="1">
        <f t="array" ref="F140">INDEX(Raw_Data!$H$7:$S$18,MIN(Calculation_Engine!E111:F111),MAX(Calculation_Engine!E111:F111))</f>
        <v>180</v>
      </c>
      <c r="G140" s="31" cm="1">
        <f t="array" ref="G140">INDEX(Raw_Data!$H$7:$S$18,MIN(Calculation_Engine!F111:G111),MAX(Calculation_Engine!F111:G111))</f>
        <v>180</v>
      </c>
      <c r="H140" s="31" cm="1">
        <f t="array" ref="H140">INDEX(Raw_Data!$H$7:$S$18,MIN(Calculation_Engine!G111:H111),MAX(Calculation_Engine!G111:H111))</f>
        <v>104</v>
      </c>
      <c r="I140" s="31" cm="1">
        <f t="array" ref="I140">INDEX(Raw_Data!$H$7:$S$18,MIN(Calculation_Engine!H111:I111),MAX(Calculation_Engine!H111:I111))</f>
        <v>0</v>
      </c>
      <c r="J140" s="31" cm="1">
        <f t="array" ref="J140">INDEX(Raw_Data!$H$7:$S$18,MIN(Calculation_Engine!I111:J111),MAX(Calculation_Engine!I111:J111))</f>
        <v>0</v>
      </c>
      <c r="K140" s="31" cm="1">
        <f t="array" ref="K140">INDEX(Raw_Data!$H$7:$S$18,MIN(Calculation_Engine!J111:K111),MAX(Calculation_Engine!J111:K111))</f>
        <v>218</v>
      </c>
      <c r="L140" s="31">
        <f t="shared" si="4"/>
        <v>980</v>
      </c>
    </row>
    <row r="141" spans="1:12" x14ac:dyDescent="0.2">
      <c r="A141" t="s">
        <v>46</v>
      </c>
      <c r="B141" s="31">
        <v>0</v>
      </c>
      <c r="C141" s="31" cm="1">
        <f t="array" ref="C141">INDEX(Raw_Data!$H$7:$S$18,MIN(Calculation_Engine!B112:C112),MAX(Calculation_Engine!B112:C112))</f>
        <v>238</v>
      </c>
      <c r="D141" s="31" cm="1">
        <f t="array" ref="D141">INDEX(Raw_Data!$H$7:$S$18,MIN(Calculation_Engine!C112:D112),MAX(Calculation_Engine!C112:D112))</f>
        <v>133</v>
      </c>
      <c r="E141" s="31" cm="1">
        <f t="array" ref="E141">INDEX(Raw_Data!$H$7:$S$18,MIN(Calculation_Engine!D112:E112),MAX(Calculation_Engine!D112:E112))</f>
        <v>0</v>
      </c>
      <c r="F141" s="31" cm="1">
        <f t="array" ref="F141">INDEX(Raw_Data!$H$7:$S$18,MIN(Calculation_Engine!E112:F112),MAX(Calculation_Engine!E112:F112))</f>
        <v>133</v>
      </c>
      <c r="G141" s="31" cm="1">
        <f t="array" ref="G141">INDEX(Raw_Data!$H$7:$S$18,MIN(Calculation_Engine!F112:G112),MAX(Calculation_Engine!F112:G112))</f>
        <v>133</v>
      </c>
      <c r="H141" s="31" cm="1">
        <f t="array" ref="H141">INDEX(Raw_Data!$H$7:$S$18,MIN(Calculation_Engine!G112:H112),MAX(Calculation_Engine!G112:H112))</f>
        <v>133</v>
      </c>
      <c r="I141" s="31" cm="1">
        <f t="array" ref="I141">INDEX(Raw_Data!$H$7:$S$18,MIN(Calculation_Engine!H112:I112),MAX(Calculation_Engine!H112:I112))</f>
        <v>0</v>
      </c>
      <c r="J141" s="31" cm="1">
        <f t="array" ref="J141">INDEX(Raw_Data!$H$7:$S$18,MIN(Calculation_Engine!I112:J112),MAX(Calculation_Engine!I112:J112))</f>
        <v>0</v>
      </c>
      <c r="K141" s="31" cm="1">
        <f t="array" ref="K141">INDEX(Raw_Data!$H$7:$S$18,MIN(Calculation_Engine!J112:K112),MAX(Calculation_Engine!J112:K112))</f>
        <v>238</v>
      </c>
      <c r="L141" s="31">
        <f t="shared" si="4"/>
        <v>1008</v>
      </c>
    </row>
    <row r="142" spans="1:12" x14ac:dyDescent="0.2">
      <c r="A142" t="s">
        <v>47</v>
      </c>
      <c r="B142" s="31">
        <v>0</v>
      </c>
      <c r="C142" s="31" cm="1">
        <f t="array" ref="C142">INDEX(Raw_Data!$H$7:$S$18,MIN(Calculation_Engine!B113:C113),MAX(Calculation_Engine!B113:C113))</f>
        <v>150</v>
      </c>
      <c r="D142" s="31" cm="1">
        <f t="array" ref="D142">INDEX(Raw_Data!$H$7:$S$18,MIN(Calculation_Engine!C113:D113),MAX(Calculation_Engine!C113:D113))</f>
        <v>233</v>
      </c>
      <c r="E142" s="31" cm="1">
        <f t="array" ref="E142">INDEX(Raw_Data!$H$7:$S$18,MIN(Calculation_Engine!D113:E113),MAX(Calculation_Engine!D113:E113))</f>
        <v>0</v>
      </c>
      <c r="F142" s="31" cm="1">
        <f t="array" ref="F142">INDEX(Raw_Data!$H$7:$S$18,MIN(Calculation_Engine!E113:F113),MAX(Calculation_Engine!E113:F113))</f>
        <v>233</v>
      </c>
      <c r="G142" s="31" cm="1">
        <f t="array" ref="G142">INDEX(Raw_Data!$H$7:$S$18,MIN(Calculation_Engine!F113:G113),MAX(Calculation_Engine!F113:G113))</f>
        <v>233</v>
      </c>
      <c r="H142" s="31" cm="1">
        <f t="array" ref="H142">INDEX(Raw_Data!$H$7:$S$18,MIN(Calculation_Engine!G113:H113),MAX(Calculation_Engine!G113:H113))</f>
        <v>233</v>
      </c>
      <c r="I142" s="31" cm="1">
        <f t="array" ref="I142">INDEX(Raw_Data!$H$7:$S$18,MIN(Calculation_Engine!H113:I113),MAX(Calculation_Engine!H113:I113))</f>
        <v>0</v>
      </c>
      <c r="J142" s="31" cm="1">
        <f t="array" ref="J142">INDEX(Raw_Data!$H$7:$S$18,MIN(Calculation_Engine!I113:J113),MAX(Calculation_Engine!I113:J113))</f>
        <v>0</v>
      </c>
      <c r="K142" s="31" cm="1">
        <f t="array" ref="K142">INDEX(Raw_Data!$H$7:$S$18,MIN(Calculation_Engine!J113:K113),MAX(Calculation_Engine!J113:K113))</f>
        <v>150</v>
      </c>
      <c r="L142" s="31">
        <f t="shared" si="4"/>
        <v>1232</v>
      </c>
    </row>
    <row r="143" spans="1:12" x14ac:dyDescent="0.2">
      <c r="A143" t="s">
        <v>48</v>
      </c>
      <c r="B143" s="31">
        <v>0</v>
      </c>
      <c r="C143" s="31" cm="1">
        <f t="array" ref="C143">INDEX(Raw_Data!$H$7:$S$18,MIN(Calculation_Engine!B114:C114),MAX(Calculation_Engine!B114:C114))</f>
        <v>218</v>
      </c>
      <c r="D143" s="31" cm="1">
        <f t="array" ref="D143">INDEX(Raw_Data!$H$7:$S$18,MIN(Calculation_Engine!C114:D114),MAX(Calculation_Engine!C114:D114))</f>
        <v>186</v>
      </c>
      <c r="E143" s="31" cm="1">
        <f t="array" ref="E143">INDEX(Raw_Data!$H$7:$S$18,MIN(Calculation_Engine!D114:E114),MAX(Calculation_Engine!D114:E114))</f>
        <v>0</v>
      </c>
      <c r="F143" s="31" cm="1">
        <f t="array" ref="F143">INDEX(Raw_Data!$H$7:$S$18,MIN(Calculation_Engine!E114:F114),MAX(Calculation_Engine!E114:F114))</f>
        <v>186</v>
      </c>
      <c r="G143" s="31" cm="1">
        <f t="array" ref="G143">INDEX(Raw_Data!$H$7:$S$18,MIN(Calculation_Engine!F114:G114),MAX(Calculation_Engine!F114:G114))</f>
        <v>186</v>
      </c>
      <c r="H143" s="31" cm="1">
        <f t="array" ref="H143">INDEX(Raw_Data!$H$7:$S$18,MIN(Calculation_Engine!G114:H114),MAX(Calculation_Engine!G114:H114))</f>
        <v>113</v>
      </c>
      <c r="I143" s="31" cm="1">
        <f t="array" ref="I143">INDEX(Raw_Data!$H$7:$S$18,MIN(Calculation_Engine!H114:I114),MAX(Calculation_Engine!H114:I114))</f>
        <v>0</v>
      </c>
      <c r="J143" s="31" cm="1">
        <f t="array" ref="J143">INDEX(Raw_Data!$H$7:$S$18,MIN(Calculation_Engine!I114:J114),MAX(Calculation_Engine!I114:J114))</f>
        <v>0</v>
      </c>
      <c r="K143" s="31" cm="1">
        <f t="array" ref="K143">INDEX(Raw_Data!$H$7:$S$18,MIN(Calculation_Engine!J114:K114),MAX(Calculation_Engine!J114:K114))</f>
        <v>118</v>
      </c>
      <c r="L143" s="31">
        <f t="shared" si="4"/>
        <v>1007</v>
      </c>
    </row>
    <row r="144" spans="1:12" x14ac:dyDescent="0.2">
      <c r="A144" t="s">
        <v>49</v>
      </c>
      <c r="B144" s="31">
        <v>0</v>
      </c>
      <c r="C144" s="31" cm="1">
        <f t="array" ref="C144">INDEX(Raw_Data!$H$7:$S$18,MIN(Calculation_Engine!B115:C115),MAX(Calculation_Engine!B115:C115))</f>
        <v>172</v>
      </c>
      <c r="D144" s="31" cm="1">
        <f t="array" ref="D144">INDEX(Raw_Data!$H$7:$S$18,MIN(Calculation_Engine!C115:D115),MAX(Calculation_Engine!C115:D115))</f>
        <v>180</v>
      </c>
      <c r="E144" s="31" cm="1">
        <f t="array" ref="E144">INDEX(Raw_Data!$H$7:$S$18,MIN(Calculation_Engine!D115:E115),MAX(Calculation_Engine!D115:E115))</f>
        <v>114</v>
      </c>
      <c r="F144" s="31" cm="1">
        <f t="array" ref="F144">INDEX(Raw_Data!$H$7:$S$18,MIN(Calculation_Engine!E115:F115),MAX(Calculation_Engine!E115:F115))</f>
        <v>0</v>
      </c>
      <c r="G144" s="31" cm="1">
        <f t="array" ref="G144">INDEX(Raw_Data!$H$7:$S$18,MIN(Calculation_Engine!F115:G115),MAX(Calculation_Engine!F115:G115))</f>
        <v>195</v>
      </c>
      <c r="H144" s="31" cm="1">
        <f t="array" ref="H144">INDEX(Raw_Data!$H$7:$S$18,MIN(Calculation_Engine!G115:H115),MAX(Calculation_Engine!G115:H115))</f>
        <v>0</v>
      </c>
      <c r="I144" s="31" cm="1">
        <f t="array" ref="I144">INDEX(Raw_Data!$H$7:$S$18,MIN(Calculation_Engine!H115:I115),MAX(Calculation_Engine!H115:I115))</f>
        <v>0</v>
      </c>
      <c r="J144" s="31" cm="1">
        <f t="array" ref="J144">INDEX(Raw_Data!$H$7:$S$18,MIN(Calculation_Engine!I115:J115),MAX(Calculation_Engine!I115:J115))</f>
        <v>0</v>
      </c>
      <c r="K144" s="31" cm="1">
        <f t="array" ref="K144">INDEX(Raw_Data!$H$7:$S$18,MIN(Calculation_Engine!J115:K115),MAX(Calculation_Engine!J115:K115))</f>
        <v>172</v>
      </c>
      <c r="L144" s="31">
        <f t="shared" si="4"/>
        <v>833</v>
      </c>
    </row>
    <row r="145" spans="1:12" x14ac:dyDescent="0.2">
      <c r="A145" t="s">
        <v>50</v>
      </c>
      <c r="B145" s="31">
        <v>0</v>
      </c>
      <c r="C145" s="31" cm="1">
        <f t="array" ref="C145">INDEX(Raw_Data!$H$7:$S$18,MIN(Calculation_Engine!B116:C116),MAX(Calculation_Engine!B116:C116))</f>
        <v>235</v>
      </c>
      <c r="D145" s="31" cm="1">
        <f t="array" ref="D145">INDEX(Raw_Data!$H$7:$S$18,MIN(Calculation_Engine!C116:D116),MAX(Calculation_Engine!C116:D116))</f>
        <v>133</v>
      </c>
      <c r="E145" s="31" cm="1">
        <f t="array" ref="E145">INDEX(Raw_Data!$H$7:$S$18,MIN(Calculation_Engine!D116:E116),MAX(Calculation_Engine!D116:E116))</f>
        <v>238</v>
      </c>
      <c r="F145" s="31" cm="1">
        <f t="array" ref="F145">INDEX(Raw_Data!$H$7:$S$18,MIN(Calculation_Engine!E116:F116),MAX(Calculation_Engine!E116:F116))</f>
        <v>0</v>
      </c>
      <c r="G145" s="31" cm="1">
        <f t="array" ref="G145">INDEX(Raw_Data!$H$7:$S$18,MIN(Calculation_Engine!F116:G116),MAX(Calculation_Engine!F116:G116))</f>
        <v>235</v>
      </c>
      <c r="H145" s="31" cm="1">
        <f t="array" ref="H145">INDEX(Raw_Data!$H$7:$S$18,MIN(Calculation_Engine!G116:H116),MAX(Calculation_Engine!G116:H116))</f>
        <v>0</v>
      </c>
      <c r="I145" s="31" cm="1">
        <f t="array" ref="I145">INDEX(Raw_Data!$H$7:$S$18,MIN(Calculation_Engine!H116:I116),MAX(Calculation_Engine!H116:I116))</f>
        <v>0</v>
      </c>
      <c r="J145" s="31" cm="1">
        <f t="array" ref="J145">INDEX(Raw_Data!$H$7:$S$18,MIN(Calculation_Engine!I116:J116),MAX(Calculation_Engine!I116:J116))</f>
        <v>0</v>
      </c>
      <c r="K145" s="31" cm="1">
        <f t="array" ref="K145">INDEX(Raw_Data!$H$7:$S$18,MIN(Calculation_Engine!J116:K116),MAX(Calculation_Engine!J116:K116))</f>
        <v>235</v>
      </c>
      <c r="L145" s="31">
        <f t="shared" si="4"/>
        <v>1076</v>
      </c>
    </row>
    <row r="146" spans="1:12" x14ac:dyDescent="0.2">
      <c r="A146" t="s">
        <v>51</v>
      </c>
      <c r="B146" s="31">
        <v>0</v>
      </c>
      <c r="C146" s="31" cm="1">
        <f t="array" ref="C146">INDEX(Raw_Data!$H$7:$S$18,MIN(Calculation_Engine!B117:C117),MAX(Calculation_Engine!B117:C117))</f>
        <v>237</v>
      </c>
      <c r="D146" s="31" cm="1">
        <f t="array" ref="D146">INDEX(Raw_Data!$H$7:$S$18,MIN(Calculation_Engine!C117:D117),MAX(Calculation_Engine!C117:D117))</f>
        <v>233</v>
      </c>
      <c r="E146" s="31" cm="1">
        <f t="array" ref="E146">INDEX(Raw_Data!$H$7:$S$18,MIN(Calculation_Engine!D117:E117),MAX(Calculation_Engine!D117:E117))</f>
        <v>208</v>
      </c>
      <c r="F146" s="31" cm="1">
        <f t="array" ref="F146">INDEX(Raw_Data!$H$7:$S$18,MIN(Calculation_Engine!E117:F117),MAX(Calculation_Engine!E117:F117))</f>
        <v>0</v>
      </c>
      <c r="G146" s="31" cm="1">
        <f t="array" ref="G146">INDEX(Raw_Data!$H$7:$S$18,MIN(Calculation_Engine!F117:G117),MAX(Calculation_Engine!F117:G117))</f>
        <v>85</v>
      </c>
      <c r="H146" s="31" cm="1">
        <f t="array" ref="H146">INDEX(Raw_Data!$H$7:$S$18,MIN(Calculation_Engine!G117:H117),MAX(Calculation_Engine!G117:H117))</f>
        <v>0</v>
      </c>
      <c r="I146" s="31" cm="1">
        <f t="array" ref="I146">INDEX(Raw_Data!$H$7:$S$18,MIN(Calculation_Engine!H117:I117),MAX(Calculation_Engine!H117:I117))</f>
        <v>0</v>
      </c>
      <c r="J146" s="31" cm="1">
        <f t="array" ref="J146">INDEX(Raw_Data!$H$7:$S$18,MIN(Calculation_Engine!I117:J117),MAX(Calculation_Engine!I117:J117))</f>
        <v>0</v>
      </c>
      <c r="K146" s="31" cm="1">
        <f t="array" ref="K146">INDEX(Raw_Data!$H$7:$S$18,MIN(Calculation_Engine!J117:K117),MAX(Calculation_Engine!J117:K117))</f>
        <v>237</v>
      </c>
      <c r="L146" s="31">
        <f t="shared" si="4"/>
        <v>1000</v>
      </c>
    </row>
    <row r="147" spans="1:12" x14ac:dyDescent="0.2">
      <c r="A147" t="s">
        <v>52</v>
      </c>
      <c r="B147" s="31">
        <v>0</v>
      </c>
      <c r="C147" s="31" cm="1">
        <f t="array" ref="C147">INDEX(Raw_Data!$H$7:$S$18,MIN(Calculation_Engine!B118:C118),MAX(Calculation_Engine!B118:C118))</f>
        <v>164</v>
      </c>
      <c r="D147" s="31" cm="1">
        <f t="array" ref="D147">INDEX(Raw_Data!$H$7:$S$18,MIN(Calculation_Engine!C118:D118),MAX(Calculation_Engine!C118:D118))</f>
        <v>186</v>
      </c>
      <c r="E147" s="31" cm="1">
        <f t="array" ref="E147">INDEX(Raw_Data!$H$7:$S$18,MIN(Calculation_Engine!D118:E118),MAX(Calculation_Engine!D118:E118))</f>
        <v>230</v>
      </c>
      <c r="F147" s="31" cm="1">
        <f t="array" ref="F147">INDEX(Raw_Data!$H$7:$S$18,MIN(Calculation_Engine!E118:F118),MAX(Calculation_Engine!E118:F118))</f>
        <v>0</v>
      </c>
      <c r="G147" s="31" cm="1">
        <f t="array" ref="G147">INDEX(Raw_Data!$H$7:$S$18,MIN(Calculation_Engine!F118:G118),MAX(Calculation_Engine!F118:G118))</f>
        <v>222</v>
      </c>
      <c r="H147" s="31" cm="1">
        <f t="array" ref="H147">INDEX(Raw_Data!$H$7:$S$18,MIN(Calculation_Engine!G118:H118),MAX(Calculation_Engine!G118:H118))</f>
        <v>0</v>
      </c>
      <c r="I147" s="31" cm="1">
        <f t="array" ref="I147">INDEX(Raw_Data!$H$7:$S$18,MIN(Calculation_Engine!H118:I118),MAX(Calculation_Engine!H118:I118))</f>
        <v>0</v>
      </c>
      <c r="J147" s="31" cm="1">
        <f t="array" ref="J147">INDEX(Raw_Data!$H$7:$S$18,MIN(Calculation_Engine!I118:J118),MAX(Calculation_Engine!I118:J118))</f>
        <v>0</v>
      </c>
      <c r="K147" s="31" cm="1">
        <f t="array" ref="K147">INDEX(Raw_Data!$H$7:$S$18,MIN(Calculation_Engine!J118:K118),MAX(Calculation_Engine!J118:K118))</f>
        <v>164</v>
      </c>
      <c r="L147" s="31">
        <f t="shared" si="4"/>
        <v>966</v>
      </c>
    </row>
    <row r="148" spans="1:12" x14ac:dyDescent="0.2">
      <c r="A148" t="s">
        <v>53</v>
      </c>
      <c r="B148" s="31">
        <v>0</v>
      </c>
      <c r="C148" s="31" cm="1">
        <f t="array" ref="C148">INDEX(Raw_Data!$H$7:$S$18,MIN(Calculation_Engine!B119:C119),MAX(Calculation_Engine!B119:C119))</f>
        <v>172</v>
      </c>
      <c r="D148" s="31" cm="1">
        <f t="array" ref="D148">INDEX(Raw_Data!$H$7:$S$18,MIN(Calculation_Engine!C119:D119),MAX(Calculation_Engine!C119:D119))</f>
        <v>0</v>
      </c>
      <c r="E148" s="31" cm="1">
        <f t="array" ref="E148">INDEX(Raw_Data!$H$7:$S$18,MIN(Calculation_Engine!D119:E119),MAX(Calculation_Engine!D119:E119))</f>
        <v>180</v>
      </c>
      <c r="F148" s="31" cm="1">
        <f t="array" ref="F148">INDEX(Raw_Data!$H$7:$S$18,MIN(Calculation_Engine!E119:F119),MAX(Calculation_Engine!E119:F119))</f>
        <v>114</v>
      </c>
      <c r="G148" s="31" cm="1">
        <f t="array" ref="G148">INDEX(Raw_Data!$H$7:$S$18,MIN(Calculation_Engine!F119:G119),MAX(Calculation_Engine!F119:G119))</f>
        <v>195</v>
      </c>
      <c r="H148" s="31" cm="1">
        <f t="array" ref="H148">INDEX(Raw_Data!$H$7:$S$18,MIN(Calculation_Engine!G119:H119),MAX(Calculation_Engine!G119:H119))</f>
        <v>0</v>
      </c>
      <c r="I148" s="31" cm="1">
        <f t="array" ref="I148">INDEX(Raw_Data!$H$7:$S$18,MIN(Calculation_Engine!H119:I119),MAX(Calculation_Engine!H119:I119))</f>
        <v>0</v>
      </c>
      <c r="J148" s="31" cm="1">
        <f t="array" ref="J148">INDEX(Raw_Data!$H$7:$S$18,MIN(Calculation_Engine!I119:J119),MAX(Calculation_Engine!I119:J119))</f>
        <v>0</v>
      </c>
      <c r="K148" s="31" cm="1">
        <f t="array" ref="K148">INDEX(Raw_Data!$H$7:$S$18,MIN(Calculation_Engine!J119:K119),MAX(Calculation_Engine!J119:K119))</f>
        <v>172</v>
      </c>
      <c r="L148" s="31">
        <f t="shared" si="4"/>
        <v>833</v>
      </c>
    </row>
    <row r="149" spans="1:12" x14ac:dyDescent="0.2">
      <c r="A149" t="s">
        <v>54</v>
      </c>
      <c r="B149" s="31">
        <v>0</v>
      </c>
      <c r="C149" s="31" cm="1">
        <f t="array" ref="C149">INDEX(Raw_Data!$H$7:$S$18,MIN(Calculation_Engine!B120:C120),MAX(Calculation_Engine!B120:C120))</f>
        <v>235</v>
      </c>
      <c r="D149" s="31" cm="1">
        <f t="array" ref="D149">INDEX(Raw_Data!$H$7:$S$18,MIN(Calculation_Engine!C120:D120),MAX(Calculation_Engine!C120:D120))</f>
        <v>0</v>
      </c>
      <c r="E149" s="31" cm="1">
        <f t="array" ref="E149">INDEX(Raw_Data!$H$7:$S$18,MIN(Calculation_Engine!D120:E120),MAX(Calculation_Engine!D120:E120))</f>
        <v>133</v>
      </c>
      <c r="F149" s="31" cm="1">
        <f t="array" ref="F149">INDEX(Raw_Data!$H$7:$S$18,MIN(Calculation_Engine!E120:F120),MAX(Calculation_Engine!E120:F120))</f>
        <v>238</v>
      </c>
      <c r="G149" s="31" cm="1">
        <f t="array" ref="G149">INDEX(Raw_Data!$H$7:$S$18,MIN(Calculation_Engine!F120:G120),MAX(Calculation_Engine!F120:G120))</f>
        <v>235</v>
      </c>
      <c r="H149" s="31" cm="1">
        <f t="array" ref="H149">INDEX(Raw_Data!$H$7:$S$18,MIN(Calculation_Engine!G120:H120),MAX(Calculation_Engine!G120:H120))</f>
        <v>0</v>
      </c>
      <c r="I149" s="31" cm="1">
        <f t="array" ref="I149">INDEX(Raw_Data!$H$7:$S$18,MIN(Calculation_Engine!H120:I120),MAX(Calculation_Engine!H120:I120))</f>
        <v>0</v>
      </c>
      <c r="J149" s="31" cm="1">
        <f t="array" ref="J149">INDEX(Raw_Data!$H$7:$S$18,MIN(Calculation_Engine!I120:J120),MAX(Calculation_Engine!I120:J120))</f>
        <v>0</v>
      </c>
      <c r="K149" s="31" cm="1">
        <f t="array" ref="K149">INDEX(Raw_Data!$H$7:$S$18,MIN(Calculation_Engine!J120:K120),MAX(Calculation_Engine!J120:K120))</f>
        <v>235</v>
      </c>
      <c r="L149" s="31">
        <f t="shared" si="4"/>
        <v>1076</v>
      </c>
    </row>
    <row r="150" spans="1:12" x14ac:dyDescent="0.2">
      <c r="A150" t="s">
        <v>55</v>
      </c>
      <c r="B150" s="31">
        <v>0</v>
      </c>
      <c r="C150" s="31" cm="1">
        <f t="array" ref="C150">INDEX(Raw_Data!$H$7:$S$18,MIN(Calculation_Engine!B121:C121),MAX(Calculation_Engine!B121:C121))</f>
        <v>237</v>
      </c>
      <c r="D150" s="31" cm="1">
        <f t="array" ref="D150">INDEX(Raw_Data!$H$7:$S$18,MIN(Calculation_Engine!C121:D121),MAX(Calculation_Engine!C121:D121))</f>
        <v>0</v>
      </c>
      <c r="E150" s="31" cm="1">
        <f t="array" ref="E150">INDEX(Raw_Data!$H$7:$S$18,MIN(Calculation_Engine!D121:E121),MAX(Calculation_Engine!D121:E121))</f>
        <v>233</v>
      </c>
      <c r="F150" s="31" cm="1">
        <f t="array" ref="F150">INDEX(Raw_Data!$H$7:$S$18,MIN(Calculation_Engine!E121:F121),MAX(Calculation_Engine!E121:F121))</f>
        <v>208</v>
      </c>
      <c r="G150" s="31" cm="1">
        <f t="array" ref="G150">INDEX(Raw_Data!$H$7:$S$18,MIN(Calculation_Engine!F121:G121),MAX(Calculation_Engine!F121:G121))</f>
        <v>85</v>
      </c>
      <c r="H150" s="31" cm="1">
        <f t="array" ref="H150">INDEX(Raw_Data!$H$7:$S$18,MIN(Calculation_Engine!G121:H121),MAX(Calculation_Engine!G121:H121))</f>
        <v>0</v>
      </c>
      <c r="I150" s="31" cm="1">
        <f t="array" ref="I150">INDEX(Raw_Data!$H$7:$S$18,MIN(Calculation_Engine!H121:I121),MAX(Calculation_Engine!H121:I121))</f>
        <v>0</v>
      </c>
      <c r="J150" s="31" cm="1">
        <f t="array" ref="J150">INDEX(Raw_Data!$H$7:$S$18,MIN(Calculation_Engine!I121:J121),MAX(Calculation_Engine!I121:J121))</f>
        <v>0</v>
      </c>
      <c r="K150" s="31" cm="1">
        <f t="array" ref="K150">INDEX(Raw_Data!$H$7:$S$18,MIN(Calculation_Engine!J121:K121),MAX(Calculation_Engine!J121:K121))</f>
        <v>237</v>
      </c>
      <c r="L150" s="31">
        <f t="shared" si="4"/>
        <v>1000</v>
      </c>
    </row>
    <row r="151" spans="1:12" x14ac:dyDescent="0.2">
      <c r="A151" t="s">
        <v>56</v>
      </c>
      <c r="B151" s="31">
        <v>0</v>
      </c>
      <c r="C151" s="31" cm="1">
        <f t="array" ref="C151">INDEX(Raw_Data!$H$7:$S$18,MIN(Calculation_Engine!B122:C122),MAX(Calculation_Engine!B122:C122))</f>
        <v>164</v>
      </c>
      <c r="D151" s="31" cm="1">
        <f t="array" ref="D151">INDEX(Raw_Data!$H$7:$S$18,MIN(Calculation_Engine!C122:D122),MAX(Calculation_Engine!C122:D122))</f>
        <v>0</v>
      </c>
      <c r="E151" s="31" cm="1">
        <f t="array" ref="E151">INDEX(Raw_Data!$H$7:$S$18,MIN(Calculation_Engine!D122:E122),MAX(Calculation_Engine!D122:E122))</f>
        <v>186</v>
      </c>
      <c r="F151" s="31" cm="1">
        <f t="array" ref="F151">INDEX(Raw_Data!$H$7:$S$18,MIN(Calculation_Engine!E122:F122),MAX(Calculation_Engine!E122:F122))</f>
        <v>230</v>
      </c>
      <c r="G151" s="31" cm="1">
        <f t="array" ref="G151">INDEX(Raw_Data!$H$7:$S$18,MIN(Calculation_Engine!F122:G122),MAX(Calculation_Engine!F122:G122))</f>
        <v>222</v>
      </c>
      <c r="H151" s="31" cm="1">
        <f t="array" ref="H151">INDEX(Raw_Data!$H$7:$S$18,MIN(Calculation_Engine!G122:H122),MAX(Calculation_Engine!G122:H122))</f>
        <v>0</v>
      </c>
      <c r="I151" s="31" cm="1">
        <f t="array" ref="I151">INDEX(Raw_Data!$H$7:$S$18,MIN(Calculation_Engine!H122:I122),MAX(Calculation_Engine!H122:I122))</f>
        <v>0</v>
      </c>
      <c r="J151" s="31" cm="1">
        <f t="array" ref="J151">INDEX(Raw_Data!$H$7:$S$18,MIN(Calculation_Engine!I122:J122),MAX(Calculation_Engine!I122:J122))</f>
        <v>0</v>
      </c>
      <c r="K151" s="31" cm="1">
        <f t="array" ref="K151">INDEX(Raw_Data!$H$7:$S$18,MIN(Calculation_Engine!J122:K122),MAX(Calculation_Engine!J122:K122))</f>
        <v>164</v>
      </c>
      <c r="L151" s="31">
        <f t="shared" si="4"/>
        <v>966</v>
      </c>
    </row>
    <row r="152" spans="1:12" x14ac:dyDescent="0.2">
      <c r="A152" t="s">
        <v>57</v>
      </c>
      <c r="B152" s="31">
        <v>0</v>
      </c>
      <c r="C152" s="31" cm="1">
        <f t="array" ref="C152">INDEX(Raw_Data!$H$7:$S$18,MIN(Calculation_Engine!B123:C123),MAX(Calculation_Engine!B123:C123))</f>
        <v>85</v>
      </c>
      <c r="D152" s="31" cm="1">
        <f t="array" ref="D152">INDEX(Raw_Data!$H$7:$S$18,MIN(Calculation_Engine!C123:D123),MAX(Calculation_Engine!C123:D123))</f>
        <v>0</v>
      </c>
      <c r="E152" s="31" cm="1">
        <f t="array" ref="E152">INDEX(Raw_Data!$H$7:$S$18,MIN(Calculation_Engine!D123:E123),MAX(Calculation_Engine!D123:E123))</f>
        <v>195</v>
      </c>
      <c r="F152" s="31" cm="1">
        <f t="array" ref="F152">INDEX(Raw_Data!$H$7:$S$18,MIN(Calculation_Engine!E123:F123),MAX(Calculation_Engine!E123:F123))</f>
        <v>0</v>
      </c>
      <c r="G152" s="31" cm="1">
        <f t="array" ref="G152">INDEX(Raw_Data!$H$7:$S$18,MIN(Calculation_Engine!F123:G123),MAX(Calculation_Engine!F123:G123))</f>
        <v>180</v>
      </c>
      <c r="H152" s="31" cm="1">
        <f t="array" ref="H152">INDEX(Raw_Data!$H$7:$S$18,MIN(Calculation_Engine!G123:H123),MAX(Calculation_Engine!G123:H123))</f>
        <v>0</v>
      </c>
      <c r="I152" s="31" cm="1">
        <f t="array" ref="I152">INDEX(Raw_Data!$H$7:$S$18,MIN(Calculation_Engine!H123:I123),MAX(Calculation_Engine!H123:I123))</f>
        <v>0</v>
      </c>
      <c r="J152" s="31" cm="1">
        <f t="array" ref="J152">INDEX(Raw_Data!$H$7:$S$18,MIN(Calculation_Engine!I123:J123),MAX(Calculation_Engine!I123:J123))</f>
        <v>0</v>
      </c>
      <c r="K152" s="31" cm="1">
        <f t="array" ref="K152">INDEX(Raw_Data!$H$7:$S$18,MIN(Calculation_Engine!J123:K123),MAX(Calculation_Engine!J123:K123))</f>
        <v>118</v>
      </c>
      <c r="L152" s="31">
        <f t="shared" si="4"/>
        <v>578</v>
      </c>
    </row>
    <row r="153" spans="1:12" x14ac:dyDescent="0.2">
      <c r="A153" t="s">
        <v>58</v>
      </c>
      <c r="B153" s="31">
        <v>0</v>
      </c>
      <c r="C153" s="31" cm="1">
        <f t="array" ref="C153">INDEX(Raw_Data!$H$7:$S$18,MIN(Calculation_Engine!B124:C124),MAX(Calculation_Engine!B124:C124))</f>
        <v>0</v>
      </c>
      <c r="D153" s="31" cm="1">
        <f t="array" ref="D153">INDEX(Raw_Data!$H$7:$S$18,MIN(Calculation_Engine!C124:D124),MAX(Calculation_Engine!C124:D124))</f>
        <v>0</v>
      </c>
      <c r="E153" s="31" cm="1">
        <f t="array" ref="E153">INDEX(Raw_Data!$H$7:$S$18,MIN(Calculation_Engine!D124:E124),MAX(Calculation_Engine!D124:E124))</f>
        <v>235</v>
      </c>
      <c r="F153" s="31" cm="1">
        <f t="array" ref="F153">INDEX(Raw_Data!$H$7:$S$18,MIN(Calculation_Engine!E124:F124),MAX(Calculation_Engine!E124:F124))</f>
        <v>0</v>
      </c>
      <c r="G153" s="31" cm="1">
        <f t="array" ref="G153">INDEX(Raw_Data!$H$7:$S$18,MIN(Calculation_Engine!F124:G124),MAX(Calculation_Engine!F124:G124))</f>
        <v>133</v>
      </c>
      <c r="H153" s="31" cm="1">
        <f t="array" ref="H153">INDEX(Raw_Data!$H$7:$S$18,MIN(Calculation_Engine!G124:H124),MAX(Calculation_Engine!G124:H124))</f>
        <v>0</v>
      </c>
      <c r="I153" s="31" cm="1">
        <f t="array" ref="I153">INDEX(Raw_Data!$H$7:$S$18,MIN(Calculation_Engine!H124:I124),MAX(Calculation_Engine!H124:I124))</f>
        <v>0</v>
      </c>
      <c r="J153" s="31" cm="1">
        <f t="array" ref="J153">INDEX(Raw_Data!$H$7:$S$18,MIN(Calculation_Engine!I124:J124),MAX(Calculation_Engine!I124:J124))</f>
        <v>0</v>
      </c>
      <c r="K153" s="31" cm="1">
        <f t="array" ref="K153">INDEX(Raw_Data!$H$7:$S$18,MIN(Calculation_Engine!J124:K124),MAX(Calculation_Engine!J124:K124))</f>
        <v>238</v>
      </c>
      <c r="L153" s="31">
        <f t="shared" si="4"/>
        <v>606</v>
      </c>
    </row>
    <row r="154" spans="1:12" x14ac:dyDescent="0.2">
      <c r="A154" t="s">
        <v>59</v>
      </c>
      <c r="B154" s="31">
        <v>0</v>
      </c>
      <c r="C154" s="31" cm="1">
        <f t="array" ref="C154">INDEX(Raw_Data!$H$7:$S$18,MIN(Calculation_Engine!B125:C125),MAX(Calculation_Engine!B125:C125))</f>
        <v>175</v>
      </c>
      <c r="D154" s="31" cm="1">
        <f t="array" ref="D154">INDEX(Raw_Data!$H$7:$S$18,MIN(Calculation_Engine!C125:D125),MAX(Calculation_Engine!C125:D125))</f>
        <v>0</v>
      </c>
      <c r="E154" s="31" cm="1">
        <f t="array" ref="E154">INDEX(Raw_Data!$H$7:$S$18,MIN(Calculation_Engine!D125:E125),MAX(Calculation_Engine!D125:E125))</f>
        <v>85</v>
      </c>
      <c r="F154" s="31" cm="1">
        <f t="array" ref="F154">INDEX(Raw_Data!$H$7:$S$18,MIN(Calculation_Engine!E125:F125),MAX(Calculation_Engine!E125:F125))</f>
        <v>0</v>
      </c>
      <c r="G154" s="31" cm="1">
        <f t="array" ref="G154">INDEX(Raw_Data!$H$7:$S$18,MIN(Calculation_Engine!F125:G125),MAX(Calculation_Engine!F125:G125))</f>
        <v>233</v>
      </c>
      <c r="H154" s="31" cm="1">
        <f t="array" ref="H154">INDEX(Raw_Data!$H$7:$S$18,MIN(Calculation_Engine!G125:H125),MAX(Calculation_Engine!G125:H125))</f>
        <v>0</v>
      </c>
      <c r="I154" s="31" cm="1">
        <f t="array" ref="I154">INDEX(Raw_Data!$H$7:$S$18,MIN(Calculation_Engine!H125:I125),MAX(Calculation_Engine!H125:I125))</f>
        <v>0</v>
      </c>
      <c r="J154" s="31" cm="1">
        <f t="array" ref="J154">INDEX(Raw_Data!$H$7:$S$18,MIN(Calculation_Engine!I125:J125),MAX(Calculation_Engine!I125:J125))</f>
        <v>0</v>
      </c>
      <c r="K154" s="31" cm="1">
        <f t="array" ref="K154">INDEX(Raw_Data!$H$7:$S$18,MIN(Calculation_Engine!J125:K125),MAX(Calculation_Engine!J125:K125))</f>
        <v>150</v>
      </c>
      <c r="L154" s="31">
        <f t="shared" si="4"/>
        <v>643</v>
      </c>
    </row>
    <row r="155" spans="1:12" x14ac:dyDescent="0.2">
      <c r="A155" t="s">
        <v>60</v>
      </c>
      <c r="B155" s="31">
        <v>0</v>
      </c>
      <c r="C155" s="31" cm="1">
        <f t="array" ref="C155">INDEX(Raw_Data!$H$7:$S$18,MIN(Calculation_Engine!B126:C126),MAX(Calculation_Engine!B126:C126))</f>
        <v>152</v>
      </c>
      <c r="D155" s="31" cm="1">
        <f t="array" ref="D155">INDEX(Raw_Data!$H$7:$S$18,MIN(Calculation_Engine!C126:D126),MAX(Calculation_Engine!C126:D126))</f>
        <v>0</v>
      </c>
      <c r="E155" s="31" cm="1">
        <f t="array" ref="E155">INDEX(Raw_Data!$H$7:$S$18,MIN(Calculation_Engine!D126:E126),MAX(Calculation_Engine!D126:E126))</f>
        <v>222</v>
      </c>
      <c r="F155" s="31" cm="1">
        <f t="array" ref="F155">INDEX(Raw_Data!$H$7:$S$18,MIN(Calculation_Engine!E126:F126),MAX(Calculation_Engine!E126:F126))</f>
        <v>0</v>
      </c>
      <c r="G155" s="31" cm="1">
        <f t="array" ref="G155">INDEX(Raw_Data!$H$7:$S$18,MIN(Calculation_Engine!F126:G126),MAX(Calculation_Engine!F126:G126))</f>
        <v>186</v>
      </c>
      <c r="H155" s="31" cm="1">
        <f t="array" ref="H155">INDEX(Raw_Data!$H$7:$S$18,MIN(Calculation_Engine!G126:H126),MAX(Calculation_Engine!G126:H126))</f>
        <v>0</v>
      </c>
      <c r="I155" s="31" cm="1">
        <f t="array" ref="I155">INDEX(Raw_Data!$H$7:$S$18,MIN(Calculation_Engine!H126:I126),MAX(Calculation_Engine!H126:I126))</f>
        <v>0</v>
      </c>
      <c r="J155" s="31" cm="1">
        <f t="array" ref="J155">INDEX(Raw_Data!$H$7:$S$18,MIN(Calculation_Engine!I126:J126),MAX(Calculation_Engine!I126:J126))</f>
        <v>0</v>
      </c>
      <c r="K155" s="31" cm="1">
        <f t="array" ref="K155">INDEX(Raw_Data!$H$7:$S$18,MIN(Calculation_Engine!J126:K126),MAX(Calculation_Engine!J126:K126))</f>
        <v>218</v>
      </c>
      <c r="L155" s="31">
        <f t="shared" si="4"/>
        <v>778</v>
      </c>
    </row>
    <row r="156" spans="1:12" x14ac:dyDescent="0.2">
      <c r="A156" t="s">
        <v>61</v>
      </c>
      <c r="B156" s="31">
        <v>0</v>
      </c>
      <c r="C156" s="31" cm="1">
        <f t="array" ref="C156">INDEX(Raw_Data!$H$7:$S$18,MIN(Calculation_Engine!B127:C127),MAX(Calculation_Engine!B127:C127))</f>
        <v>85</v>
      </c>
      <c r="D156" s="31" cm="1">
        <f t="array" ref="D156">INDEX(Raw_Data!$H$7:$S$18,MIN(Calculation_Engine!C127:D127),MAX(Calculation_Engine!C127:D127))</f>
        <v>114</v>
      </c>
      <c r="E156" s="31" cm="1">
        <f t="array" ref="E156">INDEX(Raw_Data!$H$7:$S$18,MIN(Calculation_Engine!D127:E127),MAX(Calculation_Engine!D127:E127))</f>
        <v>0</v>
      </c>
      <c r="F156" s="31" cm="1">
        <f t="array" ref="F156">INDEX(Raw_Data!$H$7:$S$18,MIN(Calculation_Engine!E127:F127),MAX(Calculation_Engine!E127:F127))</f>
        <v>114</v>
      </c>
      <c r="G156" s="31" cm="1">
        <f t="array" ref="G156">INDEX(Raw_Data!$H$7:$S$18,MIN(Calculation_Engine!F127:G127),MAX(Calculation_Engine!F127:G127))</f>
        <v>0</v>
      </c>
      <c r="H156" s="31" cm="1">
        <f t="array" ref="H156">INDEX(Raw_Data!$H$7:$S$18,MIN(Calculation_Engine!G127:H127),MAX(Calculation_Engine!G127:H127))</f>
        <v>0</v>
      </c>
      <c r="I156" s="31" cm="1">
        <f t="array" ref="I156">INDEX(Raw_Data!$H$7:$S$18,MIN(Calculation_Engine!H127:I127),MAX(Calculation_Engine!H127:I127))</f>
        <v>0</v>
      </c>
      <c r="J156" s="31" cm="1">
        <f t="array" ref="J156">INDEX(Raw_Data!$H$7:$S$18,MIN(Calculation_Engine!I127:J127),MAX(Calculation_Engine!I127:J127))</f>
        <v>0</v>
      </c>
      <c r="K156" s="31" cm="1">
        <f t="array" ref="K156">INDEX(Raw_Data!$H$7:$S$18,MIN(Calculation_Engine!J127:K127),MAX(Calculation_Engine!J127:K127))</f>
        <v>85</v>
      </c>
      <c r="L156" s="31">
        <f t="shared" si="4"/>
        <v>398</v>
      </c>
    </row>
    <row r="157" spans="1:12" x14ac:dyDescent="0.2">
      <c r="A157" t="s">
        <v>62</v>
      </c>
      <c r="B157" s="31">
        <v>0</v>
      </c>
      <c r="C157" s="31" cm="1">
        <f t="array" ref="C157">INDEX(Raw_Data!$H$7:$S$18,MIN(Calculation_Engine!B128:C128),MAX(Calculation_Engine!B128:C128))</f>
        <v>0</v>
      </c>
      <c r="D157" s="31" cm="1">
        <f t="array" ref="D157">INDEX(Raw_Data!$H$7:$S$18,MIN(Calculation_Engine!C128:D128),MAX(Calculation_Engine!C128:D128))</f>
        <v>238</v>
      </c>
      <c r="E157" s="31" cm="1">
        <f t="array" ref="E157">INDEX(Raw_Data!$H$7:$S$18,MIN(Calculation_Engine!D128:E128),MAX(Calculation_Engine!D128:E128))</f>
        <v>0</v>
      </c>
      <c r="F157" s="31" cm="1">
        <f t="array" ref="F157">INDEX(Raw_Data!$H$7:$S$18,MIN(Calculation_Engine!E128:F128),MAX(Calculation_Engine!E128:F128))</f>
        <v>238</v>
      </c>
      <c r="G157" s="31" cm="1">
        <f t="array" ref="G157">INDEX(Raw_Data!$H$7:$S$18,MIN(Calculation_Engine!F128:G128),MAX(Calculation_Engine!F128:G128))</f>
        <v>0</v>
      </c>
      <c r="H157" s="31" cm="1">
        <f t="array" ref="H157">INDEX(Raw_Data!$H$7:$S$18,MIN(Calculation_Engine!G128:H128),MAX(Calculation_Engine!G128:H128))</f>
        <v>0</v>
      </c>
      <c r="I157" s="31" cm="1">
        <f t="array" ref="I157">INDEX(Raw_Data!$H$7:$S$18,MIN(Calculation_Engine!H128:I128),MAX(Calculation_Engine!H128:I128))</f>
        <v>0</v>
      </c>
      <c r="J157" s="31" cm="1">
        <f t="array" ref="J157">INDEX(Raw_Data!$H$7:$S$18,MIN(Calculation_Engine!I128:J128),MAX(Calculation_Engine!I128:J128))</f>
        <v>0</v>
      </c>
      <c r="K157" s="31" cm="1">
        <f t="array" ref="K157">INDEX(Raw_Data!$H$7:$S$18,MIN(Calculation_Engine!J128:K128),MAX(Calculation_Engine!J128:K128))</f>
        <v>0</v>
      </c>
      <c r="L157" s="31">
        <f t="shared" si="4"/>
        <v>476</v>
      </c>
    </row>
    <row r="158" spans="1:12" x14ac:dyDescent="0.2">
      <c r="A158" t="s">
        <v>63</v>
      </c>
      <c r="B158" s="31">
        <v>0</v>
      </c>
      <c r="C158" s="31" cm="1">
        <f t="array" ref="C158">INDEX(Raw_Data!$H$7:$S$18,MIN(Calculation_Engine!B129:C129),MAX(Calculation_Engine!B129:C129))</f>
        <v>175</v>
      </c>
      <c r="D158" s="31" cm="1">
        <f t="array" ref="D158">INDEX(Raw_Data!$H$7:$S$18,MIN(Calculation_Engine!C129:D129),MAX(Calculation_Engine!C129:D129))</f>
        <v>208</v>
      </c>
      <c r="E158" s="31" cm="1">
        <f t="array" ref="E158">INDEX(Raw_Data!$H$7:$S$18,MIN(Calculation_Engine!D129:E129),MAX(Calculation_Engine!D129:E129))</f>
        <v>0</v>
      </c>
      <c r="F158" s="31" cm="1">
        <f t="array" ref="F158">INDEX(Raw_Data!$H$7:$S$18,MIN(Calculation_Engine!E129:F129),MAX(Calculation_Engine!E129:F129))</f>
        <v>208</v>
      </c>
      <c r="G158" s="31" cm="1">
        <f t="array" ref="G158">INDEX(Raw_Data!$H$7:$S$18,MIN(Calculation_Engine!F129:G129),MAX(Calculation_Engine!F129:G129))</f>
        <v>0</v>
      </c>
      <c r="H158" s="31" cm="1">
        <f t="array" ref="H158">INDEX(Raw_Data!$H$7:$S$18,MIN(Calculation_Engine!G129:H129),MAX(Calculation_Engine!G129:H129))</f>
        <v>0</v>
      </c>
      <c r="I158" s="31" cm="1">
        <f t="array" ref="I158">INDEX(Raw_Data!$H$7:$S$18,MIN(Calculation_Engine!H129:I129),MAX(Calculation_Engine!H129:I129))</f>
        <v>0</v>
      </c>
      <c r="J158" s="31" cm="1">
        <f t="array" ref="J158">INDEX(Raw_Data!$H$7:$S$18,MIN(Calculation_Engine!I129:J129),MAX(Calculation_Engine!I129:J129))</f>
        <v>0</v>
      </c>
      <c r="K158" s="31" cm="1">
        <f t="array" ref="K158">INDEX(Raw_Data!$H$7:$S$18,MIN(Calculation_Engine!J129:K129),MAX(Calculation_Engine!J129:K129))</f>
        <v>175</v>
      </c>
      <c r="L158" s="31">
        <f t="shared" si="4"/>
        <v>766</v>
      </c>
    </row>
    <row r="159" spans="1:12" x14ac:dyDescent="0.2">
      <c r="A159" t="s">
        <v>64</v>
      </c>
      <c r="B159" s="31">
        <v>0</v>
      </c>
      <c r="C159" s="31" cm="1">
        <f t="array" ref="C159">INDEX(Raw_Data!$H$7:$S$18,MIN(Calculation_Engine!B130:C130),MAX(Calculation_Engine!B130:C130))</f>
        <v>152</v>
      </c>
      <c r="D159" s="31" cm="1">
        <f t="array" ref="D159">INDEX(Raw_Data!$H$7:$S$18,MIN(Calculation_Engine!C130:D130),MAX(Calculation_Engine!C130:D130))</f>
        <v>230</v>
      </c>
      <c r="E159" s="31" cm="1">
        <f t="array" ref="E159">INDEX(Raw_Data!$H$7:$S$18,MIN(Calculation_Engine!D130:E130),MAX(Calculation_Engine!D130:E130))</f>
        <v>0</v>
      </c>
      <c r="F159" s="31" cm="1">
        <f t="array" ref="F159">INDEX(Raw_Data!$H$7:$S$18,MIN(Calculation_Engine!E130:F130),MAX(Calculation_Engine!E130:F130))</f>
        <v>230</v>
      </c>
      <c r="G159" s="31" cm="1">
        <f t="array" ref="G159">INDEX(Raw_Data!$H$7:$S$18,MIN(Calculation_Engine!F130:G130),MAX(Calculation_Engine!F130:G130))</f>
        <v>0</v>
      </c>
      <c r="H159" s="31" cm="1">
        <f t="array" ref="H159">INDEX(Raw_Data!$H$7:$S$18,MIN(Calculation_Engine!G130:H130),MAX(Calculation_Engine!G130:H130))</f>
        <v>0</v>
      </c>
      <c r="I159" s="31" cm="1">
        <f t="array" ref="I159">INDEX(Raw_Data!$H$7:$S$18,MIN(Calculation_Engine!H130:I130),MAX(Calculation_Engine!H130:I130))</f>
        <v>0</v>
      </c>
      <c r="J159" s="31" cm="1">
        <f t="array" ref="J159">INDEX(Raw_Data!$H$7:$S$18,MIN(Calculation_Engine!I130:J130),MAX(Calculation_Engine!I130:J130))</f>
        <v>0</v>
      </c>
      <c r="K159" s="31" cm="1">
        <f t="array" ref="K159">INDEX(Raw_Data!$H$7:$S$18,MIN(Calculation_Engine!J130:K130),MAX(Calculation_Engine!J130:K130))</f>
        <v>152</v>
      </c>
      <c r="L159" s="31">
        <f t="shared" si="4"/>
        <v>764</v>
      </c>
    </row>
    <row r="166" spans="1:11" ht="25.5" x14ac:dyDescent="0.5">
      <c r="A166" s="37" t="s">
        <v>33</v>
      </c>
    </row>
    <row r="169" spans="1:11" ht="25.5" x14ac:dyDescent="0.5">
      <c r="A169" s="27" t="s">
        <v>71</v>
      </c>
    </row>
    <row r="170" spans="1:11" ht="19.5" x14ac:dyDescent="0.35">
      <c r="B170" s="36" t="s">
        <v>38</v>
      </c>
      <c r="C170" s="36">
        <v>1</v>
      </c>
      <c r="D170" s="36">
        <v>2</v>
      </c>
      <c r="E170" s="36">
        <v>3</v>
      </c>
      <c r="F170" s="36">
        <v>4</v>
      </c>
      <c r="G170" s="36">
        <v>5</v>
      </c>
      <c r="H170" s="36">
        <v>6</v>
      </c>
      <c r="I170" s="36">
        <v>7</v>
      </c>
      <c r="J170" s="36">
        <v>8</v>
      </c>
      <c r="K170" s="36" t="s">
        <v>39</v>
      </c>
    </row>
    <row r="171" spans="1:11" x14ac:dyDescent="0.2">
      <c r="A171" t="s">
        <v>42</v>
      </c>
      <c r="B171">
        <v>2</v>
      </c>
      <c r="C171">
        <v>1</v>
      </c>
      <c r="D171">
        <v>1</v>
      </c>
      <c r="E171">
        <v>9</v>
      </c>
      <c r="F171">
        <v>1</v>
      </c>
      <c r="G171">
        <v>9</v>
      </c>
      <c r="H171">
        <v>1</v>
      </c>
      <c r="I171">
        <v>5</v>
      </c>
      <c r="J171">
        <v>7</v>
      </c>
      <c r="K171">
        <v>2</v>
      </c>
    </row>
    <row r="172" spans="1:11" x14ac:dyDescent="0.2">
      <c r="A172" t="s">
        <v>29</v>
      </c>
      <c r="B172">
        <v>2</v>
      </c>
      <c r="C172">
        <v>3</v>
      </c>
      <c r="D172">
        <v>3</v>
      </c>
      <c r="E172">
        <v>11</v>
      </c>
      <c r="F172">
        <v>3</v>
      </c>
      <c r="G172">
        <v>11</v>
      </c>
      <c r="H172">
        <v>2</v>
      </c>
      <c r="I172">
        <v>6</v>
      </c>
      <c r="J172">
        <v>7</v>
      </c>
      <c r="K172">
        <v>2</v>
      </c>
    </row>
    <row r="173" spans="1:11" x14ac:dyDescent="0.2">
      <c r="A173" t="s">
        <v>43</v>
      </c>
      <c r="B173">
        <v>2</v>
      </c>
      <c r="C173">
        <v>2</v>
      </c>
      <c r="D173">
        <v>2</v>
      </c>
      <c r="E173">
        <v>10</v>
      </c>
      <c r="F173">
        <v>2</v>
      </c>
      <c r="G173">
        <v>10</v>
      </c>
      <c r="H173">
        <v>3</v>
      </c>
      <c r="I173">
        <v>6</v>
      </c>
      <c r="J173">
        <v>6</v>
      </c>
      <c r="K173">
        <v>2</v>
      </c>
    </row>
    <row r="174" spans="1:11" x14ac:dyDescent="0.2">
      <c r="A174" t="s">
        <v>44</v>
      </c>
      <c r="B174">
        <v>2</v>
      </c>
      <c r="C174">
        <v>4</v>
      </c>
      <c r="D174">
        <v>4</v>
      </c>
      <c r="E174">
        <v>12</v>
      </c>
      <c r="F174">
        <v>4</v>
      </c>
      <c r="G174">
        <v>12</v>
      </c>
      <c r="H174">
        <v>4</v>
      </c>
      <c r="I174">
        <v>5</v>
      </c>
      <c r="J174">
        <v>5</v>
      </c>
      <c r="K174">
        <v>2</v>
      </c>
    </row>
    <row r="175" spans="1:11" x14ac:dyDescent="0.2">
      <c r="A175" t="s">
        <v>45</v>
      </c>
      <c r="B175">
        <v>2</v>
      </c>
      <c r="C175">
        <v>1</v>
      </c>
      <c r="D175">
        <v>5</v>
      </c>
      <c r="E175">
        <v>5</v>
      </c>
      <c r="F175">
        <v>1</v>
      </c>
      <c r="G175">
        <v>5</v>
      </c>
      <c r="H175">
        <v>4</v>
      </c>
      <c r="I175">
        <v>4</v>
      </c>
      <c r="J175">
        <v>4</v>
      </c>
      <c r="K175">
        <v>2</v>
      </c>
    </row>
    <row r="176" spans="1:11" x14ac:dyDescent="0.2">
      <c r="A176" t="s">
        <v>46</v>
      </c>
      <c r="B176">
        <v>2</v>
      </c>
      <c r="C176">
        <v>3</v>
      </c>
      <c r="D176">
        <v>7</v>
      </c>
      <c r="E176">
        <v>7</v>
      </c>
      <c r="F176">
        <v>3</v>
      </c>
      <c r="G176">
        <v>7</v>
      </c>
      <c r="H176">
        <v>3</v>
      </c>
      <c r="I176">
        <v>3</v>
      </c>
      <c r="J176">
        <v>3</v>
      </c>
      <c r="K176">
        <v>2</v>
      </c>
    </row>
    <row r="177" spans="1:11" x14ac:dyDescent="0.2">
      <c r="A177" t="s">
        <v>47</v>
      </c>
      <c r="B177">
        <v>2</v>
      </c>
      <c r="C177">
        <v>2</v>
      </c>
      <c r="D177">
        <v>6</v>
      </c>
      <c r="E177">
        <v>6</v>
      </c>
      <c r="F177">
        <v>2</v>
      </c>
      <c r="G177">
        <v>6</v>
      </c>
      <c r="H177">
        <v>2</v>
      </c>
      <c r="I177">
        <v>2</v>
      </c>
      <c r="J177">
        <v>2</v>
      </c>
      <c r="K177">
        <v>2</v>
      </c>
    </row>
    <row r="178" spans="1:11" x14ac:dyDescent="0.2">
      <c r="A178" t="s">
        <v>48</v>
      </c>
      <c r="B178">
        <v>2</v>
      </c>
      <c r="C178">
        <v>4</v>
      </c>
      <c r="D178">
        <v>8</v>
      </c>
      <c r="E178">
        <v>8</v>
      </c>
      <c r="F178">
        <v>4</v>
      </c>
      <c r="G178">
        <v>8</v>
      </c>
      <c r="H178">
        <v>1</v>
      </c>
      <c r="I178">
        <v>1</v>
      </c>
      <c r="J178">
        <v>1</v>
      </c>
      <c r="K178">
        <v>2</v>
      </c>
    </row>
    <row r="179" spans="1:11" x14ac:dyDescent="0.2">
      <c r="A179" t="s">
        <v>49</v>
      </c>
      <c r="B179">
        <v>2</v>
      </c>
      <c r="C179">
        <v>5</v>
      </c>
      <c r="D179">
        <v>1</v>
      </c>
      <c r="E179">
        <v>9</v>
      </c>
      <c r="F179">
        <v>9</v>
      </c>
      <c r="G179">
        <v>5</v>
      </c>
      <c r="H179">
        <v>5</v>
      </c>
      <c r="I179">
        <v>5</v>
      </c>
      <c r="J179">
        <v>5</v>
      </c>
      <c r="K179">
        <v>2</v>
      </c>
    </row>
    <row r="180" spans="1:11" x14ac:dyDescent="0.2">
      <c r="A180" t="s">
        <v>50</v>
      </c>
      <c r="B180">
        <v>2</v>
      </c>
      <c r="C180">
        <v>7</v>
      </c>
      <c r="D180">
        <v>3</v>
      </c>
      <c r="E180">
        <v>11</v>
      </c>
      <c r="F180">
        <v>11</v>
      </c>
      <c r="G180">
        <v>7</v>
      </c>
      <c r="H180">
        <v>7</v>
      </c>
      <c r="I180">
        <v>7</v>
      </c>
      <c r="J180">
        <v>7</v>
      </c>
      <c r="K180">
        <v>2</v>
      </c>
    </row>
    <row r="181" spans="1:11" x14ac:dyDescent="0.2">
      <c r="A181" t="s">
        <v>51</v>
      </c>
      <c r="B181">
        <v>2</v>
      </c>
      <c r="C181">
        <v>6</v>
      </c>
      <c r="D181">
        <v>2</v>
      </c>
      <c r="E181">
        <v>10</v>
      </c>
      <c r="F181">
        <v>10</v>
      </c>
      <c r="G181">
        <v>6</v>
      </c>
      <c r="H181">
        <v>6</v>
      </c>
      <c r="I181">
        <v>6</v>
      </c>
      <c r="J181">
        <v>6</v>
      </c>
      <c r="K181">
        <v>2</v>
      </c>
    </row>
    <row r="182" spans="1:11" x14ac:dyDescent="0.2">
      <c r="A182" t="s">
        <v>52</v>
      </c>
      <c r="B182">
        <v>2</v>
      </c>
      <c r="C182">
        <v>8</v>
      </c>
      <c r="D182">
        <v>4</v>
      </c>
      <c r="E182">
        <v>12</v>
      </c>
      <c r="F182">
        <v>12</v>
      </c>
      <c r="G182">
        <v>8</v>
      </c>
      <c r="H182">
        <v>8</v>
      </c>
      <c r="I182">
        <v>8</v>
      </c>
      <c r="J182">
        <v>8</v>
      </c>
      <c r="K182">
        <v>2</v>
      </c>
    </row>
    <row r="183" spans="1:11" x14ac:dyDescent="0.2">
      <c r="A183" t="s">
        <v>53</v>
      </c>
      <c r="B183">
        <v>2</v>
      </c>
      <c r="C183">
        <v>5</v>
      </c>
      <c r="D183">
        <v>5</v>
      </c>
      <c r="E183">
        <v>1</v>
      </c>
      <c r="F183">
        <v>9</v>
      </c>
      <c r="G183">
        <v>5</v>
      </c>
      <c r="H183">
        <v>5</v>
      </c>
      <c r="I183">
        <v>5</v>
      </c>
      <c r="J183">
        <v>5</v>
      </c>
      <c r="K183">
        <v>2</v>
      </c>
    </row>
    <row r="184" spans="1:11" x14ac:dyDescent="0.2">
      <c r="A184" t="s">
        <v>54</v>
      </c>
      <c r="B184">
        <v>2</v>
      </c>
      <c r="C184">
        <v>7</v>
      </c>
      <c r="D184">
        <v>7</v>
      </c>
      <c r="E184">
        <v>3</v>
      </c>
      <c r="F184">
        <v>11</v>
      </c>
      <c r="G184">
        <v>7</v>
      </c>
      <c r="H184">
        <v>7</v>
      </c>
      <c r="I184">
        <v>7</v>
      </c>
      <c r="J184">
        <v>7</v>
      </c>
      <c r="K184">
        <v>2</v>
      </c>
    </row>
    <row r="185" spans="1:11" x14ac:dyDescent="0.2">
      <c r="A185" t="s">
        <v>55</v>
      </c>
      <c r="B185">
        <v>2</v>
      </c>
      <c r="C185">
        <v>6</v>
      </c>
      <c r="D185">
        <v>6</v>
      </c>
      <c r="E185">
        <v>2</v>
      </c>
      <c r="F185">
        <v>10</v>
      </c>
      <c r="G185">
        <v>6</v>
      </c>
      <c r="H185">
        <v>6</v>
      </c>
      <c r="I185">
        <v>6</v>
      </c>
      <c r="J185">
        <v>6</v>
      </c>
      <c r="K185">
        <v>2</v>
      </c>
    </row>
    <row r="186" spans="1:11" x14ac:dyDescent="0.2">
      <c r="A186" t="s">
        <v>56</v>
      </c>
      <c r="B186">
        <v>2</v>
      </c>
      <c r="C186">
        <v>8</v>
      </c>
      <c r="D186">
        <v>8</v>
      </c>
      <c r="E186">
        <v>4</v>
      </c>
      <c r="F186">
        <v>12</v>
      </c>
      <c r="G186">
        <v>8</v>
      </c>
      <c r="H186">
        <v>8</v>
      </c>
      <c r="I186">
        <v>8</v>
      </c>
      <c r="J186">
        <v>8</v>
      </c>
      <c r="K186">
        <v>2</v>
      </c>
    </row>
    <row r="187" spans="1:11" x14ac:dyDescent="0.2">
      <c r="A187" t="s">
        <v>57</v>
      </c>
      <c r="B187">
        <v>2</v>
      </c>
      <c r="C187">
        <v>9</v>
      </c>
      <c r="D187">
        <v>9</v>
      </c>
      <c r="E187">
        <v>5</v>
      </c>
      <c r="F187">
        <v>5</v>
      </c>
      <c r="G187">
        <v>1</v>
      </c>
      <c r="H187">
        <v>1</v>
      </c>
      <c r="I187">
        <v>1</v>
      </c>
      <c r="J187">
        <v>1</v>
      </c>
      <c r="K187">
        <v>2</v>
      </c>
    </row>
    <row r="188" spans="1:11" x14ac:dyDescent="0.2">
      <c r="A188" t="s">
        <v>58</v>
      </c>
      <c r="B188">
        <v>2</v>
      </c>
      <c r="C188">
        <v>11</v>
      </c>
      <c r="D188">
        <v>11</v>
      </c>
      <c r="E188">
        <v>7</v>
      </c>
      <c r="F188">
        <v>7</v>
      </c>
      <c r="G188">
        <v>3</v>
      </c>
      <c r="H188">
        <v>3</v>
      </c>
      <c r="I188">
        <v>3</v>
      </c>
      <c r="J188">
        <v>3</v>
      </c>
      <c r="K188">
        <v>2</v>
      </c>
    </row>
    <row r="189" spans="1:11" x14ac:dyDescent="0.2">
      <c r="A189" t="s">
        <v>59</v>
      </c>
      <c r="B189">
        <v>2</v>
      </c>
      <c r="C189">
        <v>10</v>
      </c>
      <c r="D189">
        <v>10</v>
      </c>
      <c r="E189">
        <v>6</v>
      </c>
      <c r="F189">
        <v>6</v>
      </c>
      <c r="G189">
        <v>2</v>
      </c>
      <c r="H189">
        <v>2</v>
      </c>
      <c r="I189">
        <v>2</v>
      </c>
      <c r="J189">
        <v>2</v>
      </c>
      <c r="K189">
        <v>2</v>
      </c>
    </row>
    <row r="190" spans="1:11" x14ac:dyDescent="0.2">
      <c r="A190" t="s">
        <v>60</v>
      </c>
      <c r="B190">
        <v>2</v>
      </c>
      <c r="C190">
        <v>12</v>
      </c>
      <c r="D190">
        <v>12</v>
      </c>
      <c r="E190">
        <v>8</v>
      </c>
      <c r="F190">
        <v>8</v>
      </c>
      <c r="G190">
        <v>4</v>
      </c>
      <c r="H190">
        <v>4</v>
      </c>
      <c r="I190">
        <v>4</v>
      </c>
      <c r="J190">
        <v>4</v>
      </c>
      <c r="K190">
        <v>2</v>
      </c>
    </row>
    <row r="191" spans="1:11" x14ac:dyDescent="0.2">
      <c r="A191" t="s">
        <v>61</v>
      </c>
      <c r="B191">
        <v>2</v>
      </c>
      <c r="C191">
        <v>9</v>
      </c>
      <c r="D191">
        <v>1</v>
      </c>
      <c r="E191">
        <v>1</v>
      </c>
      <c r="F191">
        <v>9</v>
      </c>
      <c r="G191">
        <v>9</v>
      </c>
      <c r="H191">
        <v>9</v>
      </c>
      <c r="I191">
        <v>9</v>
      </c>
      <c r="J191">
        <v>9</v>
      </c>
      <c r="K191">
        <v>2</v>
      </c>
    </row>
    <row r="192" spans="1:11" x14ac:dyDescent="0.2">
      <c r="A192" t="s">
        <v>62</v>
      </c>
      <c r="B192">
        <v>2</v>
      </c>
      <c r="C192">
        <v>11</v>
      </c>
      <c r="D192">
        <v>3</v>
      </c>
      <c r="E192">
        <v>3</v>
      </c>
      <c r="F192">
        <v>11</v>
      </c>
      <c r="G192">
        <v>11</v>
      </c>
      <c r="H192">
        <v>11</v>
      </c>
      <c r="I192">
        <v>11</v>
      </c>
      <c r="J192">
        <v>11</v>
      </c>
      <c r="K192">
        <v>2</v>
      </c>
    </row>
    <row r="193" spans="1:12" x14ac:dyDescent="0.2">
      <c r="A193" t="s">
        <v>63</v>
      </c>
      <c r="B193">
        <v>2</v>
      </c>
      <c r="C193">
        <v>10</v>
      </c>
      <c r="D193">
        <v>2</v>
      </c>
      <c r="E193">
        <v>2</v>
      </c>
      <c r="F193">
        <v>10</v>
      </c>
      <c r="G193">
        <v>10</v>
      </c>
      <c r="H193">
        <v>10</v>
      </c>
      <c r="I193">
        <v>10</v>
      </c>
      <c r="J193">
        <v>10</v>
      </c>
      <c r="K193">
        <v>2</v>
      </c>
    </row>
    <row r="194" spans="1:12" x14ac:dyDescent="0.2">
      <c r="A194" t="s">
        <v>64</v>
      </c>
      <c r="B194">
        <v>2</v>
      </c>
      <c r="C194">
        <v>12</v>
      </c>
      <c r="D194">
        <v>4</v>
      </c>
      <c r="E194">
        <v>4</v>
      </c>
      <c r="F194">
        <v>12</v>
      </c>
      <c r="G194">
        <v>12</v>
      </c>
      <c r="H194">
        <v>12</v>
      </c>
      <c r="I194">
        <v>12</v>
      </c>
      <c r="J194">
        <v>12</v>
      </c>
      <c r="K194">
        <v>2</v>
      </c>
    </row>
    <row r="198" spans="1:12" ht="25.5" x14ac:dyDescent="0.5">
      <c r="A198" s="27" t="s">
        <v>66</v>
      </c>
    </row>
    <row r="199" spans="1:12" ht="19.5" x14ac:dyDescent="0.35">
      <c r="B199" s="36" t="s">
        <v>38</v>
      </c>
      <c r="C199" s="36">
        <v>1</v>
      </c>
      <c r="D199" s="36">
        <v>2</v>
      </c>
      <c r="E199" s="36">
        <v>3</v>
      </c>
      <c r="F199" s="36">
        <v>4</v>
      </c>
      <c r="G199" s="36">
        <v>5</v>
      </c>
      <c r="H199" s="36">
        <v>6</v>
      </c>
      <c r="I199" s="36">
        <v>7</v>
      </c>
      <c r="J199" s="36">
        <v>8</v>
      </c>
      <c r="K199" s="36" t="s">
        <v>40</v>
      </c>
      <c r="L199" s="36" t="s">
        <v>28</v>
      </c>
    </row>
    <row r="200" spans="1:12" x14ac:dyDescent="0.2">
      <c r="A200" t="s">
        <v>42</v>
      </c>
      <c r="B200" s="31">
        <v>0</v>
      </c>
      <c r="C200" s="31" cm="1">
        <f t="array" ref="C200">INDEX(Raw_Data!$H$7:$S$18,MIN(Calculation_Engine!B171:C171),MAX(Calculation_Engine!B171:C171))</f>
        <v>138</v>
      </c>
      <c r="D200" s="31" cm="1">
        <f t="array" ref="D200">INDEX(Raw_Data!$H$7:$S$18,MIN(Calculation_Engine!C171:D171),MAX(Calculation_Engine!C171:D171))</f>
        <v>0</v>
      </c>
      <c r="E200" s="31" cm="1">
        <f t="array" ref="E200">INDEX(Raw_Data!$H$7:$S$18,MIN(Calculation_Engine!D171:E171),MAX(Calculation_Engine!D171:E171))</f>
        <v>114</v>
      </c>
      <c r="F200" s="31" cm="1">
        <f t="array" ref="F200">INDEX(Raw_Data!$H$7:$S$18,MIN(Calculation_Engine!E171:F171),MAX(Calculation_Engine!E171:F171))</f>
        <v>114</v>
      </c>
      <c r="G200" s="31" cm="1">
        <f t="array" ref="G200">INDEX(Raw_Data!$H$7:$S$18,MIN(Calculation_Engine!F171:G171),MAX(Calculation_Engine!F171:G171))</f>
        <v>114</v>
      </c>
      <c r="H200" s="31" cm="1">
        <f t="array" ref="H200">INDEX(Raw_Data!$H$7:$S$18,MIN(Calculation_Engine!G171:H171),MAX(Calculation_Engine!G171:H171))</f>
        <v>114</v>
      </c>
      <c r="I200" s="31" cm="1">
        <f t="array" ref="I200">INDEX(Raw_Data!$H$7:$S$18,MIN(Calculation_Engine!H171:I171),MAX(Calculation_Engine!H171:I171))</f>
        <v>180</v>
      </c>
      <c r="J200" s="31" cm="1">
        <f t="array" ref="J200">INDEX(Raw_Data!$H$7:$S$18,MIN(Calculation_Engine!I171:J171),MAX(Calculation_Engine!I171:J171))</f>
        <v>141</v>
      </c>
      <c r="K200" s="31" cm="1">
        <f t="array" ref="K200">INDEX(Raw_Data!$H$7:$S$18,MIN(Calculation_Engine!J171:K171),MAX(Calculation_Engine!J171:K171))</f>
        <v>168</v>
      </c>
      <c r="L200" s="31">
        <f>SUM(B200:K200)</f>
        <v>1083</v>
      </c>
    </row>
    <row r="201" spans="1:12" x14ac:dyDescent="0.2">
      <c r="A201" t="s">
        <v>29</v>
      </c>
      <c r="B201" s="31">
        <v>0</v>
      </c>
      <c r="C201" s="31" cm="1">
        <f t="array" ref="C201">INDEX(Raw_Data!$H$7:$S$18,MIN(Calculation_Engine!B172:C172),MAX(Calculation_Engine!B172:C172))</f>
        <v>186</v>
      </c>
      <c r="D201" s="31" cm="1">
        <f t="array" ref="D201">INDEX(Raw_Data!$H$7:$S$18,MIN(Calculation_Engine!C172:D172),MAX(Calculation_Engine!C172:D172))</f>
        <v>0</v>
      </c>
      <c r="E201" s="31" cm="1">
        <f t="array" ref="E201">INDEX(Raw_Data!$H$7:$S$18,MIN(Calculation_Engine!D172:E172),MAX(Calculation_Engine!D172:E172))</f>
        <v>238</v>
      </c>
      <c r="F201" s="31" cm="1">
        <f t="array" ref="F201">INDEX(Raw_Data!$H$7:$S$18,MIN(Calculation_Engine!E172:F172),MAX(Calculation_Engine!E172:F172))</f>
        <v>238</v>
      </c>
      <c r="G201" s="31" cm="1">
        <f t="array" ref="G201">INDEX(Raw_Data!$H$7:$S$18,MIN(Calculation_Engine!F172:G172),MAX(Calculation_Engine!F172:G172))</f>
        <v>238</v>
      </c>
      <c r="H201" s="31" cm="1">
        <f t="array" ref="H201">INDEX(Raw_Data!$H$7:$S$18,MIN(Calculation_Engine!G172:H172),MAX(Calculation_Engine!G172:H172))</f>
        <v>150</v>
      </c>
      <c r="I201" s="31" cm="1">
        <f t="array" ref="I201">INDEX(Raw_Data!$H$7:$S$18,MIN(Calculation_Engine!H172:I172),MAX(Calculation_Engine!H172:I172))</f>
        <v>233</v>
      </c>
      <c r="J201" s="31" cm="1">
        <f t="array" ref="J201">INDEX(Raw_Data!$H$7:$S$18,MIN(Calculation_Engine!I172:J172),MAX(Calculation_Engine!I172:J172))</f>
        <v>112</v>
      </c>
      <c r="K201" s="31" cm="1">
        <f t="array" ref="K201">INDEX(Raw_Data!$H$7:$S$18,MIN(Calculation_Engine!J172:K172),MAX(Calculation_Engine!J172:K172))</f>
        <v>168</v>
      </c>
      <c r="L201" s="31">
        <f t="shared" ref="L201:L223" si="5">SUM(B201:K201)</f>
        <v>1563</v>
      </c>
    </row>
    <row r="202" spans="1:12" x14ac:dyDescent="0.2">
      <c r="A202" t="s">
        <v>43</v>
      </c>
      <c r="B202" s="31">
        <v>0</v>
      </c>
      <c r="C202" s="31" cm="1">
        <f t="array" ref="C202">INDEX(Raw_Data!$H$7:$S$18,MIN(Calculation_Engine!B173:C173),MAX(Calculation_Engine!B173:C173))</f>
        <v>0</v>
      </c>
      <c r="D202" s="31" cm="1">
        <f t="array" ref="D202">INDEX(Raw_Data!$H$7:$S$18,MIN(Calculation_Engine!C173:D173),MAX(Calculation_Engine!C173:D173))</f>
        <v>0</v>
      </c>
      <c r="E202" s="31" cm="1">
        <f t="array" ref="E202">INDEX(Raw_Data!$H$7:$S$18,MIN(Calculation_Engine!D173:E173),MAX(Calculation_Engine!D173:E173))</f>
        <v>208</v>
      </c>
      <c r="F202" s="31" cm="1">
        <f t="array" ref="F202">INDEX(Raw_Data!$H$7:$S$18,MIN(Calculation_Engine!E173:F173),MAX(Calculation_Engine!E173:F173))</f>
        <v>208</v>
      </c>
      <c r="G202" s="31" cm="1">
        <f t="array" ref="G202">INDEX(Raw_Data!$H$7:$S$18,MIN(Calculation_Engine!F173:G173),MAX(Calculation_Engine!F173:G173))</f>
        <v>208</v>
      </c>
      <c r="H202" s="31" cm="1">
        <f t="array" ref="H202">INDEX(Raw_Data!$H$7:$S$18,MIN(Calculation_Engine!G173:H173),MAX(Calculation_Engine!G173:H173))</f>
        <v>214</v>
      </c>
      <c r="I202" s="31" cm="1">
        <f t="array" ref="I202">INDEX(Raw_Data!$H$7:$S$18,MIN(Calculation_Engine!H173:I173),MAX(Calculation_Engine!H173:I173))</f>
        <v>150</v>
      </c>
      <c r="J202" s="31" cm="1">
        <f t="array" ref="J202">INDEX(Raw_Data!$H$7:$S$18,MIN(Calculation_Engine!I173:J173),MAX(Calculation_Engine!I173:J173))</f>
        <v>0</v>
      </c>
      <c r="K202" s="31" cm="1">
        <f t="array" ref="K202">INDEX(Raw_Data!$H$7:$S$18,MIN(Calculation_Engine!J173:K173),MAX(Calculation_Engine!J173:K173))</f>
        <v>233</v>
      </c>
      <c r="L202" s="31">
        <f t="shared" si="5"/>
        <v>1221</v>
      </c>
    </row>
    <row r="203" spans="1:12" x14ac:dyDescent="0.2">
      <c r="A203" t="s">
        <v>44</v>
      </c>
      <c r="B203" s="31">
        <v>0</v>
      </c>
      <c r="C203" s="31" cm="1">
        <f t="array" ref="C203">INDEX(Raw_Data!$H$7:$S$18,MIN(Calculation_Engine!B174:C174),MAX(Calculation_Engine!B174:C174))</f>
        <v>90</v>
      </c>
      <c r="D203" s="31" cm="1">
        <f t="array" ref="D203">INDEX(Raw_Data!$H$7:$S$18,MIN(Calculation_Engine!C174:D174),MAX(Calculation_Engine!C174:D174))</f>
        <v>0</v>
      </c>
      <c r="E203" s="31" cm="1">
        <f t="array" ref="E203">INDEX(Raw_Data!$H$7:$S$18,MIN(Calculation_Engine!D174:E174),MAX(Calculation_Engine!D174:E174))</f>
        <v>230</v>
      </c>
      <c r="F203" s="31" cm="1">
        <f t="array" ref="F203">INDEX(Raw_Data!$H$7:$S$18,MIN(Calculation_Engine!E174:F174),MAX(Calculation_Engine!E174:F174))</f>
        <v>230</v>
      </c>
      <c r="G203" s="31" cm="1">
        <f t="array" ref="G203">INDEX(Raw_Data!$H$7:$S$18,MIN(Calculation_Engine!F174:G174),MAX(Calculation_Engine!F174:G174))</f>
        <v>230</v>
      </c>
      <c r="H203" s="31" cm="1">
        <f t="array" ref="H203">INDEX(Raw_Data!$H$7:$S$18,MIN(Calculation_Engine!G174:H174),MAX(Calculation_Engine!G174:H174))</f>
        <v>230</v>
      </c>
      <c r="I203" s="31" cm="1">
        <f t="array" ref="I203">INDEX(Raw_Data!$H$7:$S$18,MIN(Calculation_Engine!H174:I174),MAX(Calculation_Engine!H174:I174))</f>
        <v>104</v>
      </c>
      <c r="J203" s="31" cm="1">
        <f t="array" ref="J203">INDEX(Raw_Data!$H$7:$S$18,MIN(Calculation_Engine!I174:J174),MAX(Calculation_Engine!I174:J174))</f>
        <v>0</v>
      </c>
      <c r="K203" s="31" cm="1">
        <f t="array" ref="K203">INDEX(Raw_Data!$H$7:$S$18,MIN(Calculation_Engine!J174:K174),MAX(Calculation_Engine!J174:K174))</f>
        <v>152</v>
      </c>
      <c r="L203" s="31">
        <f t="shared" si="5"/>
        <v>1266</v>
      </c>
    </row>
    <row r="204" spans="1:12" x14ac:dyDescent="0.2">
      <c r="A204" t="s">
        <v>45</v>
      </c>
      <c r="B204" s="31">
        <v>0</v>
      </c>
      <c r="C204" s="31" cm="1">
        <f t="array" ref="C204">INDEX(Raw_Data!$H$7:$S$18,MIN(Calculation_Engine!B175:C175),MAX(Calculation_Engine!B175:C175))</f>
        <v>138</v>
      </c>
      <c r="D204" s="31" cm="1">
        <f t="array" ref="D204">INDEX(Raw_Data!$H$7:$S$18,MIN(Calculation_Engine!C175:D175),MAX(Calculation_Engine!C175:D175))</f>
        <v>180</v>
      </c>
      <c r="E204" s="31" cm="1">
        <f t="array" ref="E204">INDEX(Raw_Data!$H$7:$S$18,MIN(Calculation_Engine!D175:E175),MAX(Calculation_Engine!D175:E175))</f>
        <v>0</v>
      </c>
      <c r="F204" s="31" cm="1">
        <f t="array" ref="F204">INDEX(Raw_Data!$H$7:$S$18,MIN(Calculation_Engine!E175:F175),MAX(Calculation_Engine!E175:F175))</f>
        <v>180</v>
      </c>
      <c r="G204" s="31" cm="1">
        <f t="array" ref="G204">INDEX(Raw_Data!$H$7:$S$18,MIN(Calculation_Engine!F175:G175),MAX(Calculation_Engine!F175:G175))</f>
        <v>180</v>
      </c>
      <c r="H204" s="31" cm="1">
        <f t="array" ref="H204">INDEX(Raw_Data!$H$7:$S$18,MIN(Calculation_Engine!G175:H175),MAX(Calculation_Engine!G175:H175))</f>
        <v>104</v>
      </c>
      <c r="I204" s="31" cm="1">
        <f t="array" ref="I204">INDEX(Raw_Data!$H$7:$S$18,MIN(Calculation_Engine!H175:I175),MAX(Calculation_Engine!H175:I175))</f>
        <v>0</v>
      </c>
      <c r="J204" s="31" cm="1">
        <f t="array" ref="J204">INDEX(Raw_Data!$H$7:$S$18,MIN(Calculation_Engine!I175:J175),MAX(Calculation_Engine!I175:J175))</f>
        <v>0</v>
      </c>
      <c r="K204" s="31" cm="1">
        <f t="array" ref="K204">INDEX(Raw_Data!$H$7:$S$18,MIN(Calculation_Engine!J175:K175),MAX(Calculation_Engine!J175:K175))</f>
        <v>90</v>
      </c>
      <c r="L204" s="31">
        <f t="shared" si="5"/>
        <v>872</v>
      </c>
    </row>
    <row r="205" spans="1:12" x14ac:dyDescent="0.2">
      <c r="A205" t="s">
        <v>46</v>
      </c>
      <c r="B205" s="31">
        <v>0</v>
      </c>
      <c r="C205" s="31" cm="1">
        <f t="array" ref="C205">INDEX(Raw_Data!$H$7:$S$18,MIN(Calculation_Engine!B176:C176),MAX(Calculation_Engine!B176:C176))</f>
        <v>186</v>
      </c>
      <c r="D205" s="31" cm="1">
        <f t="array" ref="D205">INDEX(Raw_Data!$H$7:$S$18,MIN(Calculation_Engine!C176:D176),MAX(Calculation_Engine!C176:D176))</f>
        <v>133</v>
      </c>
      <c r="E205" s="31" cm="1">
        <f t="array" ref="E205">INDEX(Raw_Data!$H$7:$S$18,MIN(Calculation_Engine!D176:E176),MAX(Calculation_Engine!D176:E176))</f>
        <v>0</v>
      </c>
      <c r="F205" s="31" cm="1">
        <f t="array" ref="F205">INDEX(Raw_Data!$H$7:$S$18,MIN(Calculation_Engine!E176:F176),MAX(Calculation_Engine!E176:F176))</f>
        <v>133</v>
      </c>
      <c r="G205" s="31" cm="1">
        <f t="array" ref="G205">INDEX(Raw_Data!$H$7:$S$18,MIN(Calculation_Engine!F176:G176),MAX(Calculation_Engine!F176:G176))</f>
        <v>133</v>
      </c>
      <c r="H205" s="31" cm="1">
        <f t="array" ref="H205">INDEX(Raw_Data!$H$7:$S$18,MIN(Calculation_Engine!G176:H176),MAX(Calculation_Engine!G176:H176))</f>
        <v>133</v>
      </c>
      <c r="I205" s="31" cm="1">
        <f t="array" ref="I205">INDEX(Raw_Data!$H$7:$S$18,MIN(Calculation_Engine!H176:I176),MAX(Calculation_Engine!H176:I176))</f>
        <v>0</v>
      </c>
      <c r="J205" s="31" cm="1">
        <f t="array" ref="J205">INDEX(Raw_Data!$H$7:$S$18,MIN(Calculation_Engine!I176:J176),MAX(Calculation_Engine!I176:J176))</f>
        <v>0</v>
      </c>
      <c r="K205" s="31" cm="1">
        <f t="array" ref="K205">INDEX(Raw_Data!$H$7:$S$18,MIN(Calculation_Engine!J176:K176),MAX(Calculation_Engine!J176:K176))</f>
        <v>186</v>
      </c>
      <c r="L205" s="31">
        <f t="shared" si="5"/>
        <v>904</v>
      </c>
    </row>
    <row r="206" spans="1:12" x14ac:dyDescent="0.2">
      <c r="A206" t="s">
        <v>47</v>
      </c>
      <c r="B206" s="31">
        <v>0</v>
      </c>
      <c r="C206" s="31" cm="1">
        <f t="array" ref="C206">INDEX(Raw_Data!$H$7:$S$18,MIN(Calculation_Engine!B177:C177),MAX(Calculation_Engine!B177:C177))</f>
        <v>0</v>
      </c>
      <c r="D206" s="31" cm="1">
        <f t="array" ref="D206">INDEX(Raw_Data!$H$7:$S$18,MIN(Calculation_Engine!C177:D177),MAX(Calculation_Engine!C177:D177))</f>
        <v>233</v>
      </c>
      <c r="E206" s="31" cm="1">
        <f t="array" ref="E206">INDEX(Raw_Data!$H$7:$S$18,MIN(Calculation_Engine!D177:E177),MAX(Calculation_Engine!D177:E177))</f>
        <v>0</v>
      </c>
      <c r="F206" s="31" cm="1">
        <f t="array" ref="F206">INDEX(Raw_Data!$H$7:$S$18,MIN(Calculation_Engine!E177:F177),MAX(Calculation_Engine!E177:F177))</f>
        <v>233</v>
      </c>
      <c r="G206" s="31" cm="1">
        <f t="array" ref="G206">INDEX(Raw_Data!$H$7:$S$18,MIN(Calculation_Engine!F177:G177),MAX(Calculation_Engine!F177:G177))</f>
        <v>233</v>
      </c>
      <c r="H206" s="31" cm="1">
        <f t="array" ref="H206">INDEX(Raw_Data!$H$7:$S$18,MIN(Calculation_Engine!G177:H177),MAX(Calculation_Engine!G177:H177))</f>
        <v>233</v>
      </c>
      <c r="I206" s="31" cm="1">
        <f t="array" ref="I206">INDEX(Raw_Data!$H$7:$S$18,MIN(Calculation_Engine!H177:I177),MAX(Calculation_Engine!H177:I177))</f>
        <v>0</v>
      </c>
      <c r="J206" s="31" cm="1">
        <f t="array" ref="J206">INDEX(Raw_Data!$H$7:$S$18,MIN(Calculation_Engine!I177:J177),MAX(Calculation_Engine!I177:J177))</f>
        <v>0</v>
      </c>
      <c r="K206" s="31" cm="1">
        <f t="array" ref="K206">INDEX(Raw_Data!$H$7:$S$18,MIN(Calculation_Engine!J177:K177),MAX(Calculation_Engine!J177:K177))</f>
        <v>0</v>
      </c>
      <c r="L206" s="31">
        <f t="shared" si="5"/>
        <v>932</v>
      </c>
    </row>
    <row r="207" spans="1:12" x14ac:dyDescent="0.2">
      <c r="A207" t="s">
        <v>48</v>
      </c>
      <c r="B207" s="31">
        <v>0</v>
      </c>
      <c r="C207" s="31" cm="1">
        <f t="array" ref="C207">INDEX(Raw_Data!$H$7:$S$18,MIN(Calculation_Engine!B178:C178),MAX(Calculation_Engine!B178:C178))</f>
        <v>90</v>
      </c>
      <c r="D207" s="31" cm="1">
        <f t="array" ref="D207">INDEX(Raw_Data!$H$7:$S$18,MIN(Calculation_Engine!C178:D178),MAX(Calculation_Engine!C178:D178))</f>
        <v>186</v>
      </c>
      <c r="E207" s="31" cm="1">
        <f t="array" ref="E207">INDEX(Raw_Data!$H$7:$S$18,MIN(Calculation_Engine!D178:E178),MAX(Calculation_Engine!D178:E178))</f>
        <v>0</v>
      </c>
      <c r="F207" s="31" cm="1">
        <f t="array" ref="F207">INDEX(Raw_Data!$H$7:$S$18,MIN(Calculation_Engine!E178:F178),MAX(Calculation_Engine!E178:F178))</f>
        <v>186</v>
      </c>
      <c r="G207" s="31" cm="1">
        <f t="array" ref="G207">INDEX(Raw_Data!$H$7:$S$18,MIN(Calculation_Engine!F178:G178),MAX(Calculation_Engine!F178:G178))</f>
        <v>186</v>
      </c>
      <c r="H207" s="31" cm="1">
        <f t="array" ref="H207">INDEX(Raw_Data!$H$7:$S$18,MIN(Calculation_Engine!G178:H178),MAX(Calculation_Engine!G178:H178))</f>
        <v>113</v>
      </c>
      <c r="I207" s="31" cm="1">
        <f t="array" ref="I207">INDEX(Raw_Data!$H$7:$S$18,MIN(Calculation_Engine!H178:I178),MAX(Calculation_Engine!H178:I178))</f>
        <v>0</v>
      </c>
      <c r="J207" s="31" cm="1">
        <f t="array" ref="J207">INDEX(Raw_Data!$H$7:$S$18,MIN(Calculation_Engine!I178:J178),MAX(Calculation_Engine!I178:J178))</f>
        <v>0</v>
      </c>
      <c r="K207" s="31" cm="1">
        <f t="array" ref="K207">INDEX(Raw_Data!$H$7:$S$18,MIN(Calculation_Engine!J178:K178),MAX(Calculation_Engine!J178:K178))</f>
        <v>138</v>
      </c>
      <c r="L207" s="31">
        <f t="shared" si="5"/>
        <v>899</v>
      </c>
    </row>
    <row r="208" spans="1:12" x14ac:dyDescent="0.2">
      <c r="A208" t="s">
        <v>49</v>
      </c>
      <c r="B208" s="31">
        <v>0</v>
      </c>
      <c r="C208" s="31" cm="1">
        <f t="array" ref="C208">INDEX(Raw_Data!$H$7:$S$18,MIN(Calculation_Engine!B179:C179),MAX(Calculation_Engine!B179:C179))</f>
        <v>152</v>
      </c>
      <c r="D208" s="31" cm="1">
        <f t="array" ref="D208">INDEX(Raw_Data!$H$7:$S$18,MIN(Calculation_Engine!C179:D179),MAX(Calculation_Engine!C179:D179))</f>
        <v>180</v>
      </c>
      <c r="E208" s="31" cm="1">
        <f t="array" ref="E208">INDEX(Raw_Data!$H$7:$S$18,MIN(Calculation_Engine!D179:E179),MAX(Calculation_Engine!D179:E179))</f>
        <v>114</v>
      </c>
      <c r="F208" s="31" cm="1">
        <f t="array" ref="F208">INDEX(Raw_Data!$H$7:$S$18,MIN(Calculation_Engine!E179:F179),MAX(Calculation_Engine!E179:F179))</f>
        <v>0</v>
      </c>
      <c r="G208" s="31" cm="1">
        <f t="array" ref="G208">INDEX(Raw_Data!$H$7:$S$18,MIN(Calculation_Engine!F179:G179),MAX(Calculation_Engine!F179:G179))</f>
        <v>195</v>
      </c>
      <c r="H208" s="31" cm="1">
        <f t="array" ref="H208">INDEX(Raw_Data!$H$7:$S$18,MIN(Calculation_Engine!G179:H179),MAX(Calculation_Engine!G179:H179))</f>
        <v>0</v>
      </c>
      <c r="I208" s="31" cm="1">
        <f t="array" ref="I208">INDEX(Raw_Data!$H$7:$S$18,MIN(Calculation_Engine!H179:I179),MAX(Calculation_Engine!H179:I179))</f>
        <v>0</v>
      </c>
      <c r="J208" s="31" cm="1">
        <f t="array" ref="J208">INDEX(Raw_Data!$H$7:$S$18,MIN(Calculation_Engine!I179:J179),MAX(Calculation_Engine!I179:J179))</f>
        <v>0</v>
      </c>
      <c r="K208" s="31" cm="1">
        <f t="array" ref="K208">INDEX(Raw_Data!$H$7:$S$18,MIN(Calculation_Engine!J179:K179),MAX(Calculation_Engine!J179:K179))</f>
        <v>152</v>
      </c>
      <c r="L208" s="31">
        <f t="shared" si="5"/>
        <v>793</v>
      </c>
    </row>
    <row r="209" spans="1:12" x14ac:dyDescent="0.2">
      <c r="A209" t="s">
        <v>50</v>
      </c>
      <c r="B209" s="31">
        <v>0</v>
      </c>
      <c r="C209" s="31" cm="1">
        <f t="array" ref="C209">INDEX(Raw_Data!$H$7:$S$18,MIN(Calculation_Engine!B180:C180),MAX(Calculation_Engine!B180:C180))</f>
        <v>168</v>
      </c>
      <c r="D209" s="31" cm="1">
        <f t="array" ref="D209">INDEX(Raw_Data!$H$7:$S$18,MIN(Calculation_Engine!C180:D180),MAX(Calculation_Engine!C180:D180))</f>
        <v>133</v>
      </c>
      <c r="E209" s="31" cm="1">
        <f t="array" ref="E209">INDEX(Raw_Data!$H$7:$S$18,MIN(Calculation_Engine!D180:E180),MAX(Calculation_Engine!D180:E180))</f>
        <v>238</v>
      </c>
      <c r="F209" s="31" cm="1">
        <f t="array" ref="F209">INDEX(Raw_Data!$H$7:$S$18,MIN(Calculation_Engine!E180:F180),MAX(Calculation_Engine!E180:F180))</f>
        <v>0</v>
      </c>
      <c r="G209" s="31" cm="1">
        <f t="array" ref="G209">INDEX(Raw_Data!$H$7:$S$18,MIN(Calculation_Engine!F180:G180),MAX(Calculation_Engine!F180:G180))</f>
        <v>235</v>
      </c>
      <c r="H209" s="31" cm="1">
        <f t="array" ref="H209">INDEX(Raw_Data!$H$7:$S$18,MIN(Calculation_Engine!G180:H180),MAX(Calculation_Engine!G180:H180))</f>
        <v>0</v>
      </c>
      <c r="I209" s="31" cm="1">
        <f t="array" ref="I209">INDEX(Raw_Data!$H$7:$S$18,MIN(Calculation_Engine!H180:I180),MAX(Calculation_Engine!H180:I180))</f>
        <v>0</v>
      </c>
      <c r="J209" s="31" cm="1">
        <f t="array" ref="J209">INDEX(Raw_Data!$H$7:$S$18,MIN(Calculation_Engine!I180:J180),MAX(Calculation_Engine!I180:J180))</f>
        <v>0</v>
      </c>
      <c r="K209" s="31" cm="1">
        <f t="array" ref="K209">INDEX(Raw_Data!$H$7:$S$18,MIN(Calculation_Engine!J180:K180),MAX(Calculation_Engine!J180:K180))</f>
        <v>168</v>
      </c>
      <c r="L209" s="31">
        <f t="shared" si="5"/>
        <v>942</v>
      </c>
    </row>
    <row r="210" spans="1:12" x14ac:dyDescent="0.2">
      <c r="A210" t="s">
        <v>51</v>
      </c>
      <c r="B210" s="31">
        <v>0</v>
      </c>
      <c r="C210" s="31" cm="1">
        <f t="array" ref="C210">INDEX(Raw_Data!$H$7:$S$18,MIN(Calculation_Engine!B181:C181),MAX(Calculation_Engine!B181:C181))</f>
        <v>233</v>
      </c>
      <c r="D210" s="31" cm="1">
        <f t="array" ref="D210">INDEX(Raw_Data!$H$7:$S$18,MIN(Calculation_Engine!C181:D181),MAX(Calculation_Engine!C181:D181))</f>
        <v>233</v>
      </c>
      <c r="E210" s="31" cm="1">
        <f t="array" ref="E210">INDEX(Raw_Data!$H$7:$S$18,MIN(Calculation_Engine!D181:E181),MAX(Calculation_Engine!D181:E181))</f>
        <v>208</v>
      </c>
      <c r="F210" s="31" cm="1">
        <f t="array" ref="F210">INDEX(Raw_Data!$H$7:$S$18,MIN(Calculation_Engine!E181:F181),MAX(Calculation_Engine!E181:F181))</f>
        <v>0</v>
      </c>
      <c r="G210" s="31" cm="1">
        <f t="array" ref="G210">INDEX(Raw_Data!$H$7:$S$18,MIN(Calculation_Engine!F181:G181),MAX(Calculation_Engine!F181:G181))</f>
        <v>85</v>
      </c>
      <c r="H210" s="31" cm="1">
        <f t="array" ref="H210">INDEX(Raw_Data!$H$7:$S$18,MIN(Calculation_Engine!G181:H181),MAX(Calculation_Engine!G181:H181))</f>
        <v>0</v>
      </c>
      <c r="I210" s="31" cm="1">
        <f t="array" ref="I210">INDEX(Raw_Data!$H$7:$S$18,MIN(Calculation_Engine!H181:I181),MAX(Calculation_Engine!H181:I181))</f>
        <v>0</v>
      </c>
      <c r="J210" s="31" cm="1">
        <f t="array" ref="J210">INDEX(Raw_Data!$H$7:$S$18,MIN(Calculation_Engine!I181:J181),MAX(Calculation_Engine!I181:J181))</f>
        <v>0</v>
      </c>
      <c r="K210" s="31" cm="1">
        <f t="array" ref="K210">INDEX(Raw_Data!$H$7:$S$18,MIN(Calculation_Engine!J181:K181),MAX(Calculation_Engine!J181:K181))</f>
        <v>233</v>
      </c>
      <c r="L210" s="31">
        <f t="shared" si="5"/>
        <v>992</v>
      </c>
    </row>
    <row r="211" spans="1:12" x14ac:dyDescent="0.2">
      <c r="A211" t="s">
        <v>52</v>
      </c>
      <c r="B211" s="31">
        <v>0</v>
      </c>
      <c r="C211" s="31" cm="1">
        <f t="array" ref="C211">INDEX(Raw_Data!$H$7:$S$18,MIN(Calculation_Engine!B182:C182),MAX(Calculation_Engine!B182:C182))</f>
        <v>232</v>
      </c>
      <c r="D211" s="31" cm="1">
        <f t="array" ref="D211">INDEX(Raw_Data!$H$7:$S$18,MIN(Calculation_Engine!C182:D182),MAX(Calculation_Engine!C182:D182))</f>
        <v>186</v>
      </c>
      <c r="E211" s="31" cm="1">
        <f t="array" ref="E211">INDEX(Raw_Data!$H$7:$S$18,MIN(Calculation_Engine!D182:E182),MAX(Calculation_Engine!D182:E182))</f>
        <v>230</v>
      </c>
      <c r="F211" s="31" cm="1">
        <f t="array" ref="F211">INDEX(Raw_Data!$H$7:$S$18,MIN(Calculation_Engine!E182:F182),MAX(Calculation_Engine!E182:F182))</f>
        <v>0</v>
      </c>
      <c r="G211" s="31" cm="1">
        <f t="array" ref="G211">INDEX(Raw_Data!$H$7:$S$18,MIN(Calculation_Engine!F182:G182),MAX(Calculation_Engine!F182:G182))</f>
        <v>222</v>
      </c>
      <c r="H211" s="31" cm="1">
        <f t="array" ref="H211">INDEX(Raw_Data!$H$7:$S$18,MIN(Calculation_Engine!G182:H182),MAX(Calculation_Engine!G182:H182))</f>
        <v>0</v>
      </c>
      <c r="I211" s="31" cm="1">
        <f t="array" ref="I211">INDEX(Raw_Data!$H$7:$S$18,MIN(Calculation_Engine!H182:I182),MAX(Calculation_Engine!H182:I182))</f>
        <v>0</v>
      </c>
      <c r="J211" s="31" cm="1">
        <f t="array" ref="J211">INDEX(Raw_Data!$H$7:$S$18,MIN(Calculation_Engine!I182:J182),MAX(Calculation_Engine!I182:J182))</f>
        <v>0</v>
      </c>
      <c r="K211" s="31" cm="1">
        <f t="array" ref="K211">INDEX(Raw_Data!$H$7:$S$18,MIN(Calculation_Engine!J182:K182),MAX(Calculation_Engine!J182:K182))</f>
        <v>232</v>
      </c>
      <c r="L211" s="31">
        <f t="shared" si="5"/>
        <v>1102</v>
      </c>
    </row>
    <row r="212" spans="1:12" x14ac:dyDescent="0.2">
      <c r="A212" t="s">
        <v>53</v>
      </c>
      <c r="B212" s="31">
        <v>0</v>
      </c>
      <c r="C212" s="31" cm="1">
        <f t="array" ref="C212">INDEX(Raw_Data!$H$7:$S$18,MIN(Calculation_Engine!B183:C183),MAX(Calculation_Engine!B183:C183))</f>
        <v>152</v>
      </c>
      <c r="D212" s="31" cm="1">
        <f t="array" ref="D212">INDEX(Raw_Data!$H$7:$S$18,MIN(Calculation_Engine!C183:D183),MAX(Calculation_Engine!C183:D183))</f>
        <v>0</v>
      </c>
      <c r="E212" s="31" cm="1">
        <f t="array" ref="E212">INDEX(Raw_Data!$H$7:$S$18,MIN(Calculation_Engine!D183:E183),MAX(Calculation_Engine!D183:E183))</f>
        <v>180</v>
      </c>
      <c r="F212" s="31" cm="1">
        <f t="array" ref="F212">INDEX(Raw_Data!$H$7:$S$18,MIN(Calculation_Engine!E183:F183),MAX(Calculation_Engine!E183:F183))</f>
        <v>114</v>
      </c>
      <c r="G212" s="31" cm="1">
        <f t="array" ref="G212">INDEX(Raw_Data!$H$7:$S$18,MIN(Calculation_Engine!F183:G183),MAX(Calculation_Engine!F183:G183))</f>
        <v>195</v>
      </c>
      <c r="H212" s="31" cm="1">
        <f t="array" ref="H212">INDEX(Raw_Data!$H$7:$S$18,MIN(Calculation_Engine!G183:H183),MAX(Calculation_Engine!G183:H183))</f>
        <v>0</v>
      </c>
      <c r="I212" s="31" cm="1">
        <f t="array" ref="I212">INDEX(Raw_Data!$H$7:$S$18,MIN(Calculation_Engine!H183:I183),MAX(Calculation_Engine!H183:I183))</f>
        <v>0</v>
      </c>
      <c r="J212" s="31" cm="1">
        <f t="array" ref="J212">INDEX(Raw_Data!$H$7:$S$18,MIN(Calculation_Engine!I183:J183),MAX(Calculation_Engine!I183:J183))</f>
        <v>0</v>
      </c>
      <c r="K212" s="31" cm="1">
        <f t="array" ref="K212">INDEX(Raw_Data!$H$7:$S$18,MIN(Calculation_Engine!J183:K183),MAX(Calculation_Engine!J183:K183))</f>
        <v>152</v>
      </c>
      <c r="L212" s="31">
        <f t="shared" si="5"/>
        <v>793</v>
      </c>
    </row>
    <row r="213" spans="1:12" x14ac:dyDescent="0.2">
      <c r="A213" t="s">
        <v>54</v>
      </c>
      <c r="B213" s="31">
        <v>0</v>
      </c>
      <c r="C213" s="31" cm="1">
        <f t="array" ref="C213">INDEX(Raw_Data!$H$7:$S$18,MIN(Calculation_Engine!B184:C184),MAX(Calculation_Engine!B184:C184))</f>
        <v>168</v>
      </c>
      <c r="D213" s="31" cm="1">
        <f t="array" ref="D213">INDEX(Raw_Data!$H$7:$S$18,MIN(Calculation_Engine!C184:D184),MAX(Calculation_Engine!C184:D184))</f>
        <v>0</v>
      </c>
      <c r="E213" s="31" cm="1">
        <f t="array" ref="E213">INDEX(Raw_Data!$H$7:$S$18,MIN(Calculation_Engine!D184:E184),MAX(Calculation_Engine!D184:E184))</f>
        <v>133</v>
      </c>
      <c r="F213" s="31" cm="1">
        <f t="array" ref="F213">INDEX(Raw_Data!$H$7:$S$18,MIN(Calculation_Engine!E184:F184),MAX(Calculation_Engine!E184:F184))</f>
        <v>238</v>
      </c>
      <c r="G213" s="31" cm="1">
        <f t="array" ref="G213">INDEX(Raw_Data!$H$7:$S$18,MIN(Calculation_Engine!F184:G184),MAX(Calculation_Engine!F184:G184))</f>
        <v>235</v>
      </c>
      <c r="H213" s="31" cm="1">
        <f t="array" ref="H213">INDEX(Raw_Data!$H$7:$S$18,MIN(Calculation_Engine!G184:H184),MAX(Calculation_Engine!G184:H184))</f>
        <v>0</v>
      </c>
      <c r="I213" s="31" cm="1">
        <f t="array" ref="I213">INDEX(Raw_Data!$H$7:$S$18,MIN(Calculation_Engine!H184:I184),MAX(Calculation_Engine!H184:I184))</f>
        <v>0</v>
      </c>
      <c r="J213" s="31" cm="1">
        <f t="array" ref="J213">INDEX(Raw_Data!$H$7:$S$18,MIN(Calculation_Engine!I184:J184),MAX(Calculation_Engine!I184:J184))</f>
        <v>0</v>
      </c>
      <c r="K213" s="31" cm="1">
        <f t="array" ref="K213">INDEX(Raw_Data!$H$7:$S$18,MIN(Calculation_Engine!J184:K184),MAX(Calculation_Engine!J184:K184))</f>
        <v>168</v>
      </c>
      <c r="L213" s="31">
        <f t="shared" si="5"/>
        <v>942</v>
      </c>
    </row>
    <row r="214" spans="1:12" x14ac:dyDescent="0.2">
      <c r="A214" t="s">
        <v>55</v>
      </c>
      <c r="B214" s="31">
        <v>0</v>
      </c>
      <c r="C214" s="31" cm="1">
        <f t="array" ref="C214">INDEX(Raw_Data!$H$7:$S$18,MIN(Calculation_Engine!B185:C185),MAX(Calculation_Engine!B185:C185))</f>
        <v>233</v>
      </c>
      <c r="D214" s="31" cm="1">
        <f t="array" ref="D214">INDEX(Raw_Data!$H$7:$S$18,MIN(Calculation_Engine!C185:D185),MAX(Calculation_Engine!C185:D185))</f>
        <v>0</v>
      </c>
      <c r="E214" s="31" cm="1">
        <f t="array" ref="E214">INDEX(Raw_Data!$H$7:$S$18,MIN(Calculation_Engine!D185:E185),MAX(Calculation_Engine!D185:E185))</f>
        <v>233</v>
      </c>
      <c r="F214" s="31" cm="1">
        <f t="array" ref="F214">INDEX(Raw_Data!$H$7:$S$18,MIN(Calculation_Engine!E185:F185),MAX(Calculation_Engine!E185:F185))</f>
        <v>208</v>
      </c>
      <c r="G214" s="31" cm="1">
        <f t="array" ref="G214">INDEX(Raw_Data!$H$7:$S$18,MIN(Calculation_Engine!F185:G185),MAX(Calculation_Engine!F185:G185))</f>
        <v>85</v>
      </c>
      <c r="H214" s="31" cm="1">
        <f t="array" ref="H214">INDEX(Raw_Data!$H$7:$S$18,MIN(Calculation_Engine!G185:H185),MAX(Calculation_Engine!G185:H185))</f>
        <v>0</v>
      </c>
      <c r="I214" s="31" cm="1">
        <f t="array" ref="I214">INDEX(Raw_Data!$H$7:$S$18,MIN(Calculation_Engine!H185:I185),MAX(Calculation_Engine!H185:I185))</f>
        <v>0</v>
      </c>
      <c r="J214" s="31" cm="1">
        <f t="array" ref="J214">INDEX(Raw_Data!$H$7:$S$18,MIN(Calculation_Engine!I185:J185),MAX(Calculation_Engine!I185:J185))</f>
        <v>0</v>
      </c>
      <c r="K214" s="31" cm="1">
        <f t="array" ref="K214">INDEX(Raw_Data!$H$7:$S$18,MIN(Calculation_Engine!J185:K185),MAX(Calculation_Engine!J185:K185))</f>
        <v>233</v>
      </c>
      <c r="L214" s="31">
        <f t="shared" si="5"/>
        <v>992</v>
      </c>
    </row>
    <row r="215" spans="1:12" x14ac:dyDescent="0.2">
      <c r="A215" t="s">
        <v>56</v>
      </c>
      <c r="B215" s="31">
        <v>0</v>
      </c>
      <c r="C215" s="31" cm="1">
        <f t="array" ref="C215">INDEX(Raw_Data!$H$7:$S$18,MIN(Calculation_Engine!B186:C186),MAX(Calculation_Engine!B186:C186))</f>
        <v>232</v>
      </c>
      <c r="D215" s="31" cm="1">
        <f t="array" ref="D215">INDEX(Raw_Data!$H$7:$S$18,MIN(Calculation_Engine!C186:D186),MAX(Calculation_Engine!C186:D186))</f>
        <v>0</v>
      </c>
      <c r="E215" s="31" cm="1">
        <f t="array" ref="E215">INDEX(Raw_Data!$H$7:$S$18,MIN(Calculation_Engine!D186:E186),MAX(Calculation_Engine!D186:E186))</f>
        <v>186</v>
      </c>
      <c r="F215" s="31" cm="1">
        <f t="array" ref="F215">INDEX(Raw_Data!$H$7:$S$18,MIN(Calculation_Engine!E186:F186),MAX(Calculation_Engine!E186:F186))</f>
        <v>230</v>
      </c>
      <c r="G215" s="31" cm="1">
        <f t="array" ref="G215">INDEX(Raw_Data!$H$7:$S$18,MIN(Calculation_Engine!F186:G186),MAX(Calculation_Engine!F186:G186))</f>
        <v>222</v>
      </c>
      <c r="H215" s="31" cm="1">
        <f t="array" ref="H215">INDEX(Raw_Data!$H$7:$S$18,MIN(Calculation_Engine!G186:H186),MAX(Calculation_Engine!G186:H186))</f>
        <v>0</v>
      </c>
      <c r="I215" s="31" cm="1">
        <f t="array" ref="I215">INDEX(Raw_Data!$H$7:$S$18,MIN(Calculation_Engine!H186:I186),MAX(Calculation_Engine!H186:I186))</f>
        <v>0</v>
      </c>
      <c r="J215" s="31" cm="1">
        <f t="array" ref="J215">INDEX(Raw_Data!$H$7:$S$18,MIN(Calculation_Engine!I186:J186),MAX(Calculation_Engine!I186:J186))</f>
        <v>0</v>
      </c>
      <c r="K215" s="31" cm="1">
        <f t="array" ref="K215">INDEX(Raw_Data!$H$7:$S$18,MIN(Calculation_Engine!J186:K186),MAX(Calculation_Engine!J186:K186))</f>
        <v>232</v>
      </c>
      <c r="L215" s="31">
        <f t="shared" si="5"/>
        <v>1102</v>
      </c>
    </row>
    <row r="216" spans="1:12" x14ac:dyDescent="0.2">
      <c r="A216" t="s">
        <v>57</v>
      </c>
      <c r="B216" s="31">
        <v>0</v>
      </c>
      <c r="C216" s="31" cm="1">
        <f t="array" ref="C216">INDEX(Raw_Data!$H$7:$S$18,MIN(Calculation_Engine!B187:C187),MAX(Calculation_Engine!B187:C187))</f>
        <v>100</v>
      </c>
      <c r="D216" s="31" cm="1">
        <f t="array" ref="D216">INDEX(Raw_Data!$H$7:$S$18,MIN(Calculation_Engine!C187:D187),MAX(Calculation_Engine!C187:D187))</f>
        <v>0</v>
      </c>
      <c r="E216" s="31" cm="1">
        <f t="array" ref="E216">INDEX(Raw_Data!$H$7:$S$18,MIN(Calculation_Engine!D187:E187),MAX(Calculation_Engine!D187:E187))</f>
        <v>195</v>
      </c>
      <c r="F216" s="31" cm="1">
        <f t="array" ref="F216">INDEX(Raw_Data!$H$7:$S$18,MIN(Calculation_Engine!E187:F187),MAX(Calculation_Engine!E187:F187))</f>
        <v>0</v>
      </c>
      <c r="G216" s="31" cm="1">
        <f t="array" ref="G216">INDEX(Raw_Data!$H$7:$S$18,MIN(Calculation_Engine!F187:G187),MAX(Calculation_Engine!F187:G187))</f>
        <v>180</v>
      </c>
      <c r="H216" s="31" cm="1">
        <f t="array" ref="H216">INDEX(Raw_Data!$H$7:$S$18,MIN(Calculation_Engine!G187:H187),MAX(Calculation_Engine!G187:H187))</f>
        <v>0</v>
      </c>
      <c r="I216" s="31" cm="1">
        <f t="array" ref="I216">INDEX(Raw_Data!$H$7:$S$18,MIN(Calculation_Engine!H187:I187),MAX(Calculation_Engine!H187:I187))</f>
        <v>0</v>
      </c>
      <c r="J216" s="31" cm="1">
        <f t="array" ref="J216">INDEX(Raw_Data!$H$7:$S$18,MIN(Calculation_Engine!I187:J187),MAX(Calculation_Engine!I187:J187))</f>
        <v>0</v>
      </c>
      <c r="K216" s="31" cm="1">
        <f t="array" ref="K216">INDEX(Raw_Data!$H$7:$S$18,MIN(Calculation_Engine!J187:K187),MAX(Calculation_Engine!J187:K187))</f>
        <v>138</v>
      </c>
      <c r="L216" s="31">
        <f t="shared" si="5"/>
        <v>613</v>
      </c>
    </row>
    <row r="217" spans="1:12" x14ac:dyDescent="0.2">
      <c r="A217" t="s">
        <v>58</v>
      </c>
      <c r="B217" s="31">
        <v>0</v>
      </c>
      <c r="C217" s="31" cm="1">
        <f t="array" ref="C217">INDEX(Raw_Data!$H$7:$S$18,MIN(Calculation_Engine!B188:C188),MAX(Calculation_Engine!B188:C188))</f>
        <v>150</v>
      </c>
      <c r="D217" s="31" cm="1">
        <f t="array" ref="D217">INDEX(Raw_Data!$H$7:$S$18,MIN(Calculation_Engine!C188:D188),MAX(Calculation_Engine!C188:D188))</f>
        <v>0</v>
      </c>
      <c r="E217" s="31" cm="1">
        <f t="array" ref="E217">INDEX(Raw_Data!$H$7:$S$18,MIN(Calculation_Engine!D188:E188),MAX(Calculation_Engine!D188:E188))</f>
        <v>235</v>
      </c>
      <c r="F217" s="31" cm="1">
        <f t="array" ref="F217">INDEX(Raw_Data!$H$7:$S$18,MIN(Calculation_Engine!E188:F188),MAX(Calculation_Engine!E188:F188))</f>
        <v>0</v>
      </c>
      <c r="G217" s="31" cm="1">
        <f t="array" ref="G217">INDEX(Raw_Data!$H$7:$S$18,MIN(Calculation_Engine!F188:G188),MAX(Calculation_Engine!F188:G188))</f>
        <v>133</v>
      </c>
      <c r="H217" s="31" cm="1">
        <f t="array" ref="H217">INDEX(Raw_Data!$H$7:$S$18,MIN(Calculation_Engine!G188:H188),MAX(Calculation_Engine!G188:H188))</f>
        <v>0</v>
      </c>
      <c r="I217" s="31" cm="1">
        <f t="array" ref="I217">INDEX(Raw_Data!$H$7:$S$18,MIN(Calculation_Engine!H188:I188),MAX(Calculation_Engine!H188:I188))</f>
        <v>0</v>
      </c>
      <c r="J217" s="31" cm="1">
        <f t="array" ref="J217">INDEX(Raw_Data!$H$7:$S$18,MIN(Calculation_Engine!I188:J188),MAX(Calculation_Engine!I188:J188))</f>
        <v>0</v>
      </c>
      <c r="K217" s="31" cm="1">
        <f t="array" ref="K217">INDEX(Raw_Data!$H$7:$S$18,MIN(Calculation_Engine!J188:K188),MAX(Calculation_Engine!J188:K188))</f>
        <v>186</v>
      </c>
      <c r="L217" s="31">
        <f t="shared" si="5"/>
        <v>704</v>
      </c>
    </row>
    <row r="218" spans="1:12" x14ac:dyDescent="0.2">
      <c r="A218" t="s">
        <v>59</v>
      </c>
      <c r="B218" s="31">
        <v>0</v>
      </c>
      <c r="C218" s="31" cm="1">
        <f t="array" ref="C218">INDEX(Raw_Data!$H$7:$S$18,MIN(Calculation_Engine!B189:C189),MAX(Calculation_Engine!B189:C189))</f>
        <v>208</v>
      </c>
      <c r="D218" s="31" cm="1">
        <f t="array" ref="D218">INDEX(Raw_Data!$H$7:$S$18,MIN(Calculation_Engine!C189:D189),MAX(Calculation_Engine!C189:D189))</f>
        <v>0</v>
      </c>
      <c r="E218" s="31" cm="1">
        <f t="array" ref="E218">INDEX(Raw_Data!$H$7:$S$18,MIN(Calculation_Engine!D189:E189),MAX(Calculation_Engine!D189:E189))</f>
        <v>85</v>
      </c>
      <c r="F218" s="31" cm="1">
        <f t="array" ref="F218">INDEX(Raw_Data!$H$7:$S$18,MIN(Calculation_Engine!E189:F189),MAX(Calculation_Engine!E189:F189))</f>
        <v>0</v>
      </c>
      <c r="G218" s="31" cm="1">
        <f t="array" ref="G218">INDEX(Raw_Data!$H$7:$S$18,MIN(Calculation_Engine!F189:G189),MAX(Calculation_Engine!F189:G189))</f>
        <v>233</v>
      </c>
      <c r="H218" s="31" cm="1">
        <f t="array" ref="H218">INDEX(Raw_Data!$H$7:$S$18,MIN(Calculation_Engine!G189:H189),MAX(Calculation_Engine!G189:H189))</f>
        <v>0</v>
      </c>
      <c r="I218" s="31" cm="1">
        <f t="array" ref="I218">INDEX(Raw_Data!$H$7:$S$18,MIN(Calculation_Engine!H189:I189),MAX(Calculation_Engine!H189:I189))</f>
        <v>0</v>
      </c>
      <c r="J218" s="31" cm="1">
        <f t="array" ref="J218">INDEX(Raw_Data!$H$7:$S$18,MIN(Calculation_Engine!I189:J189),MAX(Calculation_Engine!I189:J189))</f>
        <v>0</v>
      </c>
      <c r="K218" s="31" cm="1">
        <f t="array" ref="K218">INDEX(Raw_Data!$H$7:$S$18,MIN(Calculation_Engine!J189:K189),MAX(Calculation_Engine!J189:K189))</f>
        <v>0</v>
      </c>
      <c r="L218" s="31">
        <f t="shared" si="5"/>
        <v>526</v>
      </c>
    </row>
    <row r="219" spans="1:12" x14ac:dyDescent="0.2">
      <c r="A219" t="s">
        <v>60</v>
      </c>
      <c r="B219" s="31">
        <v>0</v>
      </c>
      <c r="C219" s="31" cm="1">
        <f t="array" ref="C219">INDEX(Raw_Data!$H$7:$S$18,MIN(Calculation_Engine!B190:C190),MAX(Calculation_Engine!B190:C190))</f>
        <v>210</v>
      </c>
      <c r="D219" s="31" cm="1">
        <f t="array" ref="D219">INDEX(Raw_Data!$H$7:$S$18,MIN(Calculation_Engine!C190:D190),MAX(Calculation_Engine!C190:D190))</f>
        <v>0</v>
      </c>
      <c r="E219" s="31" cm="1">
        <f t="array" ref="E219">INDEX(Raw_Data!$H$7:$S$18,MIN(Calculation_Engine!D190:E190),MAX(Calculation_Engine!D190:E190))</f>
        <v>222</v>
      </c>
      <c r="F219" s="31" cm="1">
        <f t="array" ref="F219">INDEX(Raw_Data!$H$7:$S$18,MIN(Calculation_Engine!E190:F190),MAX(Calculation_Engine!E190:F190))</f>
        <v>0</v>
      </c>
      <c r="G219" s="31" cm="1">
        <f t="array" ref="G219">INDEX(Raw_Data!$H$7:$S$18,MIN(Calculation_Engine!F190:G190),MAX(Calculation_Engine!F190:G190))</f>
        <v>186</v>
      </c>
      <c r="H219" s="31" cm="1">
        <f t="array" ref="H219">INDEX(Raw_Data!$H$7:$S$18,MIN(Calculation_Engine!G190:H190),MAX(Calculation_Engine!G190:H190))</f>
        <v>0</v>
      </c>
      <c r="I219" s="31" cm="1">
        <f t="array" ref="I219">INDEX(Raw_Data!$H$7:$S$18,MIN(Calculation_Engine!H190:I190),MAX(Calculation_Engine!H190:I190))</f>
        <v>0</v>
      </c>
      <c r="J219" s="31" cm="1">
        <f t="array" ref="J219">INDEX(Raw_Data!$H$7:$S$18,MIN(Calculation_Engine!I190:J190),MAX(Calculation_Engine!I190:J190))</f>
        <v>0</v>
      </c>
      <c r="K219" s="31" cm="1">
        <f t="array" ref="K219">INDEX(Raw_Data!$H$7:$S$18,MIN(Calculation_Engine!J190:K190),MAX(Calculation_Engine!J190:K190))</f>
        <v>90</v>
      </c>
      <c r="L219" s="31">
        <f t="shared" si="5"/>
        <v>708</v>
      </c>
    </row>
    <row r="220" spans="1:12" x14ac:dyDescent="0.2">
      <c r="A220" t="s">
        <v>61</v>
      </c>
      <c r="B220" s="31">
        <v>0</v>
      </c>
      <c r="C220" s="31" cm="1">
        <f t="array" ref="C220">INDEX(Raw_Data!$H$7:$S$18,MIN(Calculation_Engine!B191:C191),MAX(Calculation_Engine!B191:C191))</f>
        <v>100</v>
      </c>
      <c r="D220" s="31" cm="1">
        <f t="array" ref="D220">INDEX(Raw_Data!$H$7:$S$18,MIN(Calculation_Engine!C191:D191),MAX(Calculation_Engine!C191:D191))</f>
        <v>114</v>
      </c>
      <c r="E220" s="31" cm="1">
        <f t="array" ref="E220">INDEX(Raw_Data!$H$7:$S$18,MIN(Calculation_Engine!D191:E191),MAX(Calculation_Engine!D191:E191))</f>
        <v>0</v>
      </c>
      <c r="F220" s="31" cm="1">
        <f t="array" ref="F220">INDEX(Raw_Data!$H$7:$S$18,MIN(Calculation_Engine!E191:F191),MAX(Calculation_Engine!E191:F191))</f>
        <v>114</v>
      </c>
      <c r="G220" s="31" cm="1">
        <f t="array" ref="G220">INDEX(Raw_Data!$H$7:$S$18,MIN(Calculation_Engine!F191:G191),MAX(Calculation_Engine!F191:G191))</f>
        <v>0</v>
      </c>
      <c r="H220" s="31" cm="1">
        <f t="array" ref="H220">INDEX(Raw_Data!$H$7:$S$18,MIN(Calculation_Engine!G191:H191),MAX(Calculation_Engine!G191:H191))</f>
        <v>0</v>
      </c>
      <c r="I220" s="31" cm="1">
        <f t="array" ref="I220">INDEX(Raw_Data!$H$7:$S$18,MIN(Calculation_Engine!H191:I191),MAX(Calculation_Engine!H191:I191))</f>
        <v>0</v>
      </c>
      <c r="J220" s="31" cm="1">
        <f t="array" ref="J220">INDEX(Raw_Data!$H$7:$S$18,MIN(Calculation_Engine!I191:J191),MAX(Calculation_Engine!I191:J191))</f>
        <v>0</v>
      </c>
      <c r="K220" s="31" cm="1">
        <f t="array" ref="K220">INDEX(Raw_Data!$H$7:$S$18,MIN(Calculation_Engine!J191:K191),MAX(Calculation_Engine!J191:K191))</f>
        <v>100</v>
      </c>
      <c r="L220" s="31">
        <f t="shared" si="5"/>
        <v>428</v>
      </c>
    </row>
    <row r="221" spans="1:12" x14ac:dyDescent="0.2">
      <c r="A221" t="s">
        <v>62</v>
      </c>
      <c r="B221" s="31">
        <v>0</v>
      </c>
      <c r="C221" s="31" cm="1">
        <f t="array" ref="C221">INDEX(Raw_Data!$H$7:$S$18,MIN(Calculation_Engine!B192:C192),MAX(Calculation_Engine!B192:C192))</f>
        <v>150</v>
      </c>
      <c r="D221" s="31" cm="1">
        <f t="array" ref="D221">INDEX(Raw_Data!$H$7:$S$18,MIN(Calculation_Engine!C192:D192),MAX(Calculation_Engine!C192:D192))</f>
        <v>238</v>
      </c>
      <c r="E221" s="31" cm="1">
        <f t="array" ref="E221">INDEX(Raw_Data!$H$7:$S$18,MIN(Calculation_Engine!D192:E192),MAX(Calculation_Engine!D192:E192))</f>
        <v>0</v>
      </c>
      <c r="F221" s="31" cm="1">
        <f t="array" ref="F221">INDEX(Raw_Data!$H$7:$S$18,MIN(Calculation_Engine!E192:F192),MAX(Calculation_Engine!E192:F192))</f>
        <v>238</v>
      </c>
      <c r="G221" s="31" cm="1">
        <f t="array" ref="G221">INDEX(Raw_Data!$H$7:$S$18,MIN(Calculation_Engine!F192:G192),MAX(Calculation_Engine!F192:G192))</f>
        <v>0</v>
      </c>
      <c r="H221" s="31" cm="1">
        <f t="array" ref="H221">INDEX(Raw_Data!$H$7:$S$18,MIN(Calculation_Engine!G192:H192),MAX(Calculation_Engine!G192:H192))</f>
        <v>0</v>
      </c>
      <c r="I221" s="31" cm="1">
        <f t="array" ref="I221">INDEX(Raw_Data!$H$7:$S$18,MIN(Calculation_Engine!H192:I192),MAX(Calculation_Engine!H192:I192))</f>
        <v>0</v>
      </c>
      <c r="J221" s="31" cm="1">
        <f t="array" ref="J221">INDEX(Raw_Data!$H$7:$S$18,MIN(Calculation_Engine!I192:J192),MAX(Calculation_Engine!I192:J192))</f>
        <v>0</v>
      </c>
      <c r="K221" s="31" cm="1">
        <f t="array" ref="K221">INDEX(Raw_Data!$H$7:$S$18,MIN(Calculation_Engine!J192:K192),MAX(Calculation_Engine!J192:K192))</f>
        <v>150</v>
      </c>
      <c r="L221" s="31">
        <f t="shared" si="5"/>
        <v>776</v>
      </c>
    </row>
    <row r="222" spans="1:12" x14ac:dyDescent="0.2">
      <c r="A222" t="s">
        <v>63</v>
      </c>
      <c r="B222" s="31">
        <v>0</v>
      </c>
      <c r="C222" s="31" cm="1">
        <f t="array" ref="C222">INDEX(Raw_Data!$H$7:$S$18,MIN(Calculation_Engine!B193:C193),MAX(Calculation_Engine!B193:C193))</f>
        <v>208</v>
      </c>
      <c r="D222" s="31" cm="1">
        <f t="array" ref="D222">INDEX(Raw_Data!$H$7:$S$18,MIN(Calculation_Engine!C193:D193),MAX(Calculation_Engine!C193:D193))</f>
        <v>208</v>
      </c>
      <c r="E222" s="31" cm="1">
        <f t="array" ref="E222">INDEX(Raw_Data!$H$7:$S$18,MIN(Calculation_Engine!D193:E193),MAX(Calculation_Engine!D193:E193))</f>
        <v>0</v>
      </c>
      <c r="F222" s="31" cm="1">
        <f t="array" ref="F222">INDEX(Raw_Data!$H$7:$S$18,MIN(Calculation_Engine!E193:F193),MAX(Calculation_Engine!E193:F193))</f>
        <v>208</v>
      </c>
      <c r="G222" s="31" cm="1">
        <f t="array" ref="G222">INDEX(Raw_Data!$H$7:$S$18,MIN(Calculation_Engine!F193:G193),MAX(Calculation_Engine!F193:G193))</f>
        <v>0</v>
      </c>
      <c r="H222" s="31" cm="1">
        <f t="array" ref="H222">INDEX(Raw_Data!$H$7:$S$18,MIN(Calculation_Engine!G193:H193),MAX(Calculation_Engine!G193:H193))</f>
        <v>0</v>
      </c>
      <c r="I222" s="31" cm="1">
        <f t="array" ref="I222">INDEX(Raw_Data!$H$7:$S$18,MIN(Calculation_Engine!H193:I193),MAX(Calculation_Engine!H193:I193))</f>
        <v>0</v>
      </c>
      <c r="J222" s="31" cm="1">
        <f t="array" ref="J222">INDEX(Raw_Data!$H$7:$S$18,MIN(Calculation_Engine!I193:J193),MAX(Calculation_Engine!I193:J193))</f>
        <v>0</v>
      </c>
      <c r="K222" s="31" cm="1">
        <f t="array" ref="K222">INDEX(Raw_Data!$H$7:$S$18,MIN(Calculation_Engine!J193:K193),MAX(Calculation_Engine!J193:K193))</f>
        <v>208</v>
      </c>
      <c r="L222" s="31">
        <f t="shared" si="5"/>
        <v>832</v>
      </c>
    </row>
    <row r="223" spans="1:12" x14ac:dyDescent="0.2">
      <c r="A223" t="s">
        <v>64</v>
      </c>
      <c r="B223" s="31">
        <v>0</v>
      </c>
      <c r="C223" s="31" cm="1">
        <f t="array" ref="C223">INDEX(Raw_Data!$H$7:$S$18,MIN(Calculation_Engine!B194:C194),MAX(Calculation_Engine!B194:C194))</f>
        <v>210</v>
      </c>
      <c r="D223" s="31" cm="1">
        <f t="array" ref="D223">INDEX(Raw_Data!$H$7:$S$18,MIN(Calculation_Engine!C194:D194),MAX(Calculation_Engine!C194:D194))</f>
        <v>230</v>
      </c>
      <c r="E223" s="31" cm="1">
        <f t="array" ref="E223">INDEX(Raw_Data!$H$7:$S$18,MIN(Calculation_Engine!D194:E194),MAX(Calculation_Engine!D194:E194))</f>
        <v>0</v>
      </c>
      <c r="F223" s="31" cm="1">
        <f t="array" ref="F223">INDEX(Raw_Data!$H$7:$S$18,MIN(Calculation_Engine!E194:F194),MAX(Calculation_Engine!E194:F194))</f>
        <v>230</v>
      </c>
      <c r="G223" s="31" cm="1">
        <f t="array" ref="G223">INDEX(Raw_Data!$H$7:$S$18,MIN(Calculation_Engine!F194:G194),MAX(Calculation_Engine!F194:G194))</f>
        <v>0</v>
      </c>
      <c r="H223" s="31" cm="1">
        <f t="array" ref="H223">INDEX(Raw_Data!$H$7:$S$18,MIN(Calculation_Engine!G194:H194),MAX(Calculation_Engine!G194:H194))</f>
        <v>0</v>
      </c>
      <c r="I223" s="31" cm="1">
        <f t="array" ref="I223">INDEX(Raw_Data!$H$7:$S$18,MIN(Calculation_Engine!H194:I194),MAX(Calculation_Engine!H194:I194))</f>
        <v>0</v>
      </c>
      <c r="J223" s="31" cm="1">
        <f t="array" ref="J223">INDEX(Raw_Data!$H$7:$S$18,MIN(Calculation_Engine!I194:J194),MAX(Calculation_Engine!I194:J194))</f>
        <v>0</v>
      </c>
      <c r="K223" s="31" cm="1">
        <f t="array" ref="K223">INDEX(Raw_Data!$H$7:$S$18,MIN(Calculation_Engine!J194:K194),MAX(Calculation_Engine!J194:K194))</f>
        <v>210</v>
      </c>
      <c r="L223" s="31">
        <f t="shared" si="5"/>
        <v>880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S99"/>
  <sheetViews>
    <sheetView showGridLines="0" zoomScale="115" zoomScaleNormal="115" workbookViewId="0">
      <selection activeCell="F26" sqref="F26"/>
    </sheetView>
  </sheetViews>
  <sheetFormatPr baseColWidth="10" defaultColWidth="9.140625" defaultRowHeight="12.75" x14ac:dyDescent="0.2"/>
  <cols>
    <col min="1" max="2" width="18.85546875" customWidth="1"/>
    <col min="3" max="3" width="18.85546875" bestFit="1" customWidth="1"/>
    <col min="4" max="4" width="22.7109375" bestFit="1" customWidth="1"/>
    <col min="5" max="6" width="17.85546875" customWidth="1"/>
    <col min="7" max="7" width="23.85546875" bestFit="1" customWidth="1"/>
    <col min="8" max="8" width="10.7109375" bestFit="1" customWidth="1"/>
    <col min="9" max="9" width="12.28515625" bestFit="1" customWidth="1"/>
    <col min="10" max="10" width="11.140625" bestFit="1" customWidth="1"/>
    <col min="11" max="11" width="10.42578125" bestFit="1" customWidth="1"/>
    <col min="12" max="12" width="13.140625" bestFit="1" customWidth="1"/>
    <col min="13" max="13" width="14.140625" bestFit="1" customWidth="1"/>
    <col min="14" max="14" width="12.42578125" bestFit="1" customWidth="1"/>
    <col min="15" max="15" width="12" bestFit="1" customWidth="1"/>
    <col min="16" max="16" width="12.42578125" bestFit="1" customWidth="1"/>
    <col min="17" max="17" width="9.7109375" bestFit="1" customWidth="1"/>
    <col min="18" max="18" width="13.28515625" bestFit="1" customWidth="1"/>
    <col min="19" max="19" width="11.85546875" bestFit="1" customWidth="1"/>
  </cols>
  <sheetData>
    <row r="5" spans="2:19" ht="21.75" thickBot="1" x14ac:dyDescent="0.4">
      <c r="B5" s="1" t="s">
        <v>19</v>
      </c>
      <c r="D5" s="1" t="s">
        <v>20</v>
      </c>
      <c r="G5" s="38" t="s">
        <v>22</v>
      </c>
      <c r="H5" s="38"/>
      <c r="I5" s="38"/>
      <c r="J5" s="38"/>
    </row>
    <row r="6" spans="2:19" ht="13.5" thickBot="1" x14ac:dyDescent="0.25">
      <c r="B6" s="8" t="s">
        <v>42</v>
      </c>
      <c r="D6" s="11" t="s">
        <v>9</v>
      </c>
      <c r="H6" s="15" t="s">
        <v>1</v>
      </c>
      <c r="I6" s="16" t="s">
        <v>2</v>
      </c>
      <c r="J6" s="16" t="s">
        <v>3</v>
      </c>
      <c r="K6" s="16" t="s">
        <v>4</v>
      </c>
      <c r="L6" s="16" t="s">
        <v>5</v>
      </c>
      <c r="M6" s="16" t="s">
        <v>10</v>
      </c>
      <c r="N6" s="16" t="s">
        <v>6</v>
      </c>
      <c r="O6" s="16" t="s">
        <v>7</v>
      </c>
      <c r="P6" s="16" t="s">
        <v>8</v>
      </c>
      <c r="Q6" s="16" t="s">
        <v>0</v>
      </c>
      <c r="R6" s="16" t="s">
        <v>9</v>
      </c>
      <c r="S6" s="17" t="s">
        <v>11</v>
      </c>
    </row>
    <row r="7" spans="2:19" ht="15" x14ac:dyDescent="0.25">
      <c r="B7" s="9" t="s">
        <v>29</v>
      </c>
      <c r="G7" s="12" t="s">
        <v>1</v>
      </c>
      <c r="H7" s="3">
        <v>0</v>
      </c>
      <c r="I7" s="2">
        <v>138</v>
      </c>
      <c r="J7" s="2">
        <v>201</v>
      </c>
      <c r="K7" s="2">
        <v>167</v>
      </c>
      <c r="L7" s="2">
        <v>180</v>
      </c>
      <c r="M7" s="2">
        <v>96</v>
      </c>
      <c r="N7" s="2">
        <v>92</v>
      </c>
      <c r="O7" s="2">
        <v>113</v>
      </c>
      <c r="P7" s="2">
        <v>114</v>
      </c>
      <c r="Q7" s="2">
        <v>187</v>
      </c>
      <c r="R7" s="2">
        <v>118</v>
      </c>
      <c r="S7" s="2">
        <v>119</v>
      </c>
    </row>
    <row r="8" spans="2:19" ht="21.75" thickBot="1" x14ac:dyDescent="0.4">
      <c r="B8" s="9" t="s">
        <v>43</v>
      </c>
      <c r="D8" s="1" t="s">
        <v>21</v>
      </c>
      <c r="G8" s="13" t="s">
        <v>2</v>
      </c>
      <c r="H8" s="5"/>
      <c r="I8" s="3">
        <v>0</v>
      </c>
      <c r="J8" s="2">
        <v>186</v>
      </c>
      <c r="K8" s="2">
        <v>90</v>
      </c>
      <c r="L8" s="2">
        <v>152</v>
      </c>
      <c r="M8" s="2">
        <v>233</v>
      </c>
      <c r="N8" s="2">
        <v>168</v>
      </c>
      <c r="O8" s="2">
        <v>232</v>
      </c>
      <c r="P8" s="2">
        <v>100</v>
      </c>
      <c r="Q8" s="2">
        <v>208</v>
      </c>
      <c r="R8" s="2">
        <v>150</v>
      </c>
      <c r="S8" s="2">
        <v>210</v>
      </c>
    </row>
    <row r="9" spans="2:19" ht="15" x14ac:dyDescent="0.25">
      <c r="B9" s="9" t="s">
        <v>44</v>
      </c>
      <c r="D9" s="8" t="s">
        <v>1</v>
      </c>
      <c r="E9">
        <v>1</v>
      </c>
      <c r="G9" s="13" t="s">
        <v>3</v>
      </c>
      <c r="H9" s="5"/>
      <c r="I9" s="6"/>
      <c r="J9" s="3">
        <v>0</v>
      </c>
      <c r="K9" s="2">
        <v>218</v>
      </c>
      <c r="L9" s="2">
        <v>137</v>
      </c>
      <c r="M9" s="2">
        <v>150</v>
      </c>
      <c r="N9" s="2">
        <v>133</v>
      </c>
      <c r="O9" s="2">
        <v>140</v>
      </c>
      <c r="P9" s="2">
        <v>216</v>
      </c>
      <c r="Q9" s="2">
        <v>214</v>
      </c>
      <c r="R9" s="2">
        <v>238</v>
      </c>
      <c r="S9" s="2">
        <v>105</v>
      </c>
    </row>
    <row r="10" spans="2:19" ht="15" x14ac:dyDescent="0.25">
      <c r="B10" s="9" t="s">
        <v>45</v>
      </c>
      <c r="D10" s="9" t="s">
        <v>2</v>
      </c>
      <c r="E10">
        <v>2</v>
      </c>
      <c r="G10" s="13" t="s">
        <v>4</v>
      </c>
      <c r="H10" s="5"/>
      <c r="I10" s="6"/>
      <c r="J10" s="6"/>
      <c r="K10" s="3">
        <v>0</v>
      </c>
      <c r="L10" s="2">
        <v>104</v>
      </c>
      <c r="M10" s="2">
        <v>152</v>
      </c>
      <c r="N10" s="2">
        <v>165</v>
      </c>
      <c r="O10" s="2">
        <v>186</v>
      </c>
      <c r="P10" s="2">
        <v>137</v>
      </c>
      <c r="Q10" s="2">
        <v>225</v>
      </c>
      <c r="R10" s="2">
        <v>218</v>
      </c>
      <c r="S10" s="2">
        <v>230</v>
      </c>
    </row>
    <row r="11" spans="2:19" ht="15" x14ac:dyDescent="0.25">
      <c r="B11" s="9" t="s">
        <v>46</v>
      </c>
      <c r="D11" s="9" t="s">
        <v>3</v>
      </c>
      <c r="E11">
        <v>3</v>
      </c>
      <c r="G11" s="13" t="s">
        <v>5</v>
      </c>
      <c r="H11" s="5"/>
      <c r="I11" s="6"/>
      <c r="J11" s="6"/>
      <c r="K11" s="6"/>
      <c r="L11" s="3">
        <v>0</v>
      </c>
      <c r="M11" s="2">
        <v>167</v>
      </c>
      <c r="N11" s="2">
        <v>141</v>
      </c>
      <c r="O11" s="2">
        <v>197</v>
      </c>
      <c r="P11" s="2">
        <v>195</v>
      </c>
      <c r="Q11" s="2">
        <v>149</v>
      </c>
      <c r="R11" s="2">
        <v>172</v>
      </c>
      <c r="S11" s="2">
        <v>189</v>
      </c>
    </row>
    <row r="12" spans="2:19" ht="15" x14ac:dyDescent="0.25">
      <c r="B12" s="9" t="s">
        <v>47</v>
      </c>
      <c r="D12" s="9" t="s">
        <v>4</v>
      </c>
      <c r="E12">
        <v>4</v>
      </c>
      <c r="G12" s="13" t="s">
        <v>10</v>
      </c>
      <c r="H12" s="5"/>
      <c r="I12" s="6"/>
      <c r="J12" s="6"/>
      <c r="K12" s="6"/>
      <c r="L12" s="6"/>
      <c r="M12" s="3">
        <v>0</v>
      </c>
      <c r="N12" s="2">
        <v>112</v>
      </c>
      <c r="O12" s="2">
        <v>243</v>
      </c>
      <c r="P12" s="2">
        <v>205</v>
      </c>
      <c r="Q12" s="2">
        <v>85</v>
      </c>
      <c r="R12" s="2">
        <v>237</v>
      </c>
      <c r="S12" s="2">
        <v>129</v>
      </c>
    </row>
    <row r="13" spans="2:19" ht="15" x14ac:dyDescent="0.25">
      <c r="B13" s="9" t="s">
        <v>48</v>
      </c>
      <c r="D13" s="9" t="s">
        <v>5</v>
      </c>
      <c r="E13">
        <v>5</v>
      </c>
      <c r="G13" s="13" t="s">
        <v>6</v>
      </c>
      <c r="H13" s="5"/>
      <c r="I13" s="6"/>
      <c r="J13" s="6"/>
      <c r="K13" s="6"/>
      <c r="L13" s="6"/>
      <c r="M13" s="6"/>
      <c r="N13" s="3">
        <v>0</v>
      </c>
      <c r="O13" s="2">
        <v>201</v>
      </c>
      <c r="P13" s="2">
        <v>189</v>
      </c>
      <c r="Q13" s="2">
        <v>219</v>
      </c>
      <c r="R13" s="2">
        <v>235</v>
      </c>
      <c r="S13" s="2">
        <v>222</v>
      </c>
    </row>
    <row r="14" spans="2:19" ht="15" x14ac:dyDescent="0.25">
      <c r="B14" s="9" t="s">
        <v>49</v>
      </c>
      <c r="D14" s="9" t="s">
        <v>10</v>
      </c>
      <c r="E14">
        <v>6</v>
      </c>
      <c r="G14" s="13" t="s">
        <v>7</v>
      </c>
      <c r="H14" s="5"/>
      <c r="I14" s="6"/>
      <c r="J14" s="6"/>
      <c r="K14" s="6"/>
      <c r="L14" s="6"/>
      <c r="M14" s="6"/>
      <c r="N14" s="6"/>
      <c r="O14" s="3">
        <v>0</v>
      </c>
      <c r="P14" s="2">
        <v>138</v>
      </c>
      <c r="Q14" s="2">
        <v>152</v>
      </c>
      <c r="R14" s="2">
        <v>164</v>
      </c>
      <c r="S14" s="2">
        <v>222</v>
      </c>
    </row>
    <row r="15" spans="2:19" ht="15" x14ac:dyDescent="0.25">
      <c r="B15" s="9" t="s">
        <v>50</v>
      </c>
      <c r="D15" s="9" t="s">
        <v>6</v>
      </c>
      <c r="E15">
        <v>7</v>
      </c>
      <c r="G15" s="13" t="s">
        <v>8</v>
      </c>
      <c r="H15" s="5"/>
      <c r="I15" s="6"/>
      <c r="J15" s="6"/>
      <c r="K15" s="6"/>
      <c r="L15" s="6"/>
      <c r="M15" s="6"/>
      <c r="N15" s="6"/>
      <c r="O15" s="6"/>
      <c r="P15" s="3">
        <v>0</v>
      </c>
      <c r="Q15" s="2">
        <v>188</v>
      </c>
      <c r="R15" s="2">
        <v>85</v>
      </c>
      <c r="S15" s="2">
        <v>88</v>
      </c>
    </row>
    <row r="16" spans="2:19" ht="15" x14ac:dyDescent="0.25">
      <c r="B16" s="9" t="s">
        <v>51</v>
      </c>
      <c r="D16" s="9" t="s">
        <v>7</v>
      </c>
      <c r="E16">
        <v>8</v>
      </c>
      <c r="G16" s="13" t="s">
        <v>0</v>
      </c>
      <c r="H16" s="5"/>
      <c r="I16" s="6"/>
      <c r="J16" s="6"/>
      <c r="K16" s="6"/>
      <c r="L16" s="6"/>
      <c r="M16" s="6"/>
      <c r="N16" s="6"/>
      <c r="O16" s="6"/>
      <c r="P16" s="6"/>
      <c r="Q16" s="3">
        <v>0</v>
      </c>
      <c r="R16" s="2">
        <v>175</v>
      </c>
      <c r="S16" s="2">
        <v>85</v>
      </c>
    </row>
    <row r="17" spans="2:19" ht="15" x14ac:dyDescent="0.25">
      <c r="B17" s="9" t="s">
        <v>52</v>
      </c>
      <c r="D17" s="9" t="s">
        <v>8</v>
      </c>
      <c r="E17">
        <v>9</v>
      </c>
      <c r="G17" s="13" t="s">
        <v>41</v>
      </c>
      <c r="H17" s="5"/>
      <c r="I17" s="6"/>
      <c r="J17" s="6"/>
      <c r="K17" s="6"/>
      <c r="L17" s="6"/>
      <c r="M17" s="6"/>
      <c r="N17" s="6"/>
      <c r="O17" s="6"/>
      <c r="P17" s="6"/>
      <c r="Q17" s="6"/>
      <c r="R17" s="3">
        <v>0</v>
      </c>
      <c r="S17" s="2">
        <v>152</v>
      </c>
    </row>
    <row r="18" spans="2:19" ht="15.75" thickBot="1" x14ac:dyDescent="0.3">
      <c r="B18" s="9" t="s">
        <v>53</v>
      </c>
      <c r="D18" s="9" t="s">
        <v>0</v>
      </c>
      <c r="E18">
        <v>10</v>
      </c>
      <c r="G18" s="14" t="s">
        <v>11</v>
      </c>
      <c r="H18" s="5"/>
      <c r="I18" s="7"/>
      <c r="J18" s="7"/>
      <c r="K18" s="7"/>
      <c r="L18" s="7"/>
      <c r="M18" s="7"/>
      <c r="N18" s="7"/>
      <c r="O18" s="7"/>
      <c r="P18" s="7"/>
      <c r="Q18" s="7"/>
      <c r="R18" s="7"/>
      <c r="S18" s="4">
        <v>0</v>
      </c>
    </row>
    <row r="19" spans="2:19" x14ac:dyDescent="0.2">
      <c r="B19" s="9" t="s">
        <v>54</v>
      </c>
      <c r="D19" s="9" t="s">
        <v>9</v>
      </c>
      <c r="E19">
        <v>11</v>
      </c>
    </row>
    <row r="20" spans="2:19" ht="13.5" thickBot="1" x14ac:dyDescent="0.25">
      <c r="B20" s="9" t="s">
        <v>55</v>
      </c>
      <c r="D20" s="10" t="s">
        <v>11</v>
      </c>
      <c r="E20">
        <v>12</v>
      </c>
    </row>
    <row r="21" spans="2:19" x14ac:dyDescent="0.2">
      <c r="B21" s="9" t="s">
        <v>56</v>
      </c>
    </row>
    <row r="22" spans="2:19" x14ac:dyDescent="0.2">
      <c r="B22" s="9" t="s">
        <v>57</v>
      </c>
    </row>
    <row r="23" spans="2:19" x14ac:dyDescent="0.2">
      <c r="B23" s="9" t="s">
        <v>58</v>
      </c>
    </row>
    <row r="24" spans="2:19" x14ac:dyDescent="0.2">
      <c r="B24" s="9" t="s">
        <v>59</v>
      </c>
    </row>
    <row r="25" spans="2:19" x14ac:dyDescent="0.2">
      <c r="B25" s="9" t="s">
        <v>60</v>
      </c>
    </row>
    <row r="26" spans="2:19" x14ac:dyDescent="0.2">
      <c r="B26" s="9" t="s">
        <v>61</v>
      </c>
    </row>
    <row r="27" spans="2:19" x14ac:dyDescent="0.2">
      <c r="B27" s="9" t="s">
        <v>62</v>
      </c>
    </row>
    <row r="28" spans="2:19" x14ac:dyDescent="0.2">
      <c r="B28" s="9" t="s">
        <v>63</v>
      </c>
    </row>
    <row r="29" spans="2:19" ht="13.5" thickBot="1" x14ac:dyDescent="0.25">
      <c r="B29" s="10" t="s">
        <v>64</v>
      </c>
    </row>
    <row r="32" spans="2:19" ht="21.75" thickBot="1" x14ac:dyDescent="0.4">
      <c r="B32" s="1" t="s">
        <v>23</v>
      </c>
      <c r="C32" s="1" t="s">
        <v>24</v>
      </c>
      <c r="D32" s="1" t="s">
        <v>25</v>
      </c>
      <c r="E32" s="1" t="s">
        <v>26</v>
      </c>
      <c r="F32" s="1"/>
      <c r="G32" s="1" t="s">
        <v>27</v>
      </c>
    </row>
    <row r="33" spans="2:7" x14ac:dyDescent="0.2">
      <c r="B33" s="18" t="s">
        <v>42</v>
      </c>
      <c r="C33" s="18" t="s">
        <v>45</v>
      </c>
      <c r="D33" s="19">
        <v>42958</v>
      </c>
      <c r="E33" s="18" t="s">
        <v>1</v>
      </c>
      <c r="F33" s="28"/>
      <c r="G33" s="20" t="s">
        <v>13</v>
      </c>
    </row>
    <row r="34" spans="2:7" x14ac:dyDescent="0.2">
      <c r="B34" s="21" t="s">
        <v>43</v>
      </c>
      <c r="C34" s="21" t="s">
        <v>47</v>
      </c>
      <c r="D34" s="22">
        <v>42958</v>
      </c>
      <c r="E34" s="21" t="s">
        <v>2</v>
      </c>
      <c r="F34" s="29"/>
      <c r="G34" s="23" t="s">
        <v>14</v>
      </c>
    </row>
    <row r="35" spans="2:7" x14ac:dyDescent="0.2">
      <c r="B35" s="21" t="s">
        <v>29</v>
      </c>
      <c r="C35" s="21" t="s">
        <v>46</v>
      </c>
      <c r="D35" s="22">
        <v>42959</v>
      </c>
      <c r="E35" s="21" t="s">
        <v>3</v>
      </c>
      <c r="F35" s="29"/>
      <c r="G35" s="23" t="s">
        <v>15</v>
      </c>
    </row>
    <row r="36" spans="2:7" x14ac:dyDescent="0.2">
      <c r="B36" s="21" t="s">
        <v>44</v>
      </c>
      <c r="C36" s="21" t="s">
        <v>48</v>
      </c>
      <c r="D36" s="22">
        <v>42959</v>
      </c>
      <c r="E36" s="21" t="s">
        <v>4</v>
      </c>
      <c r="F36" s="29"/>
      <c r="G36" s="23" t="s">
        <v>16</v>
      </c>
    </row>
    <row r="37" spans="2:7" x14ac:dyDescent="0.2">
      <c r="B37" s="21" t="s">
        <v>49</v>
      </c>
      <c r="C37" s="21" t="s">
        <v>53</v>
      </c>
      <c r="D37" s="22">
        <v>42960</v>
      </c>
      <c r="E37" s="21" t="s">
        <v>5</v>
      </c>
      <c r="F37" s="29"/>
      <c r="G37" s="23" t="s">
        <v>13</v>
      </c>
    </row>
    <row r="38" spans="2:7" x14ac:dyDescent="0.2">
      <c r="B38" s="21" t="s">
        <v>51</v>
      </c>
      <c r="C38" s="21" t="s">
        <v>55</v>
      </c>
      <c r="D38" s="22">
        <v>42960</v>
      </c>
      <c r="E38" s="21" t="s">
        <v>10</v>
      </c>
      <c r="F38" s="29"/>
      <c r="G38" s="23" t="s">
        <v>14</v>
      </c>
    </row>
    <row r="39" spans="2:7" x14ac:dyDescent="0.2">
      <c r="B39" s="21" t="s">
        <v>50</v>
      </c>
      <c r="C39" s="21" t="s">
        <v>54</v>
      </c>
      <c r="D39" s="22">
        <v>42961</v>
      </c>
      <c r="E39" s="21" t="s">
        <v>6</v>
      </c>
      <c r="F39" s="29"/>
      <c r="G39" s="23" t="s">
        <v>15</v>
      </c>
    </row>
    <row r="40" spans="2:7" x14ac:dyDescent="0.2">
      <c r="B40" s="21" t="s">
        <v>52</v>
      </c>
      <c r="C40" s="21" t="s">
        <v>56</v>
      </c>
      <c r="D40" s="22">
        <v>42961</v>
      </c>
      <c r="E40" s="21" t="s">
        <v>7</v>
      </c>
      <c r="F40" s="29"/>
      <c r="G40" s="23" t="s">
        <v>16</v>
      </c>
    </row>
    <row r="41" spans="2:7" x14ac:dyDescent="0.2">
      <c r="B41" s="21" t="s">
        <v>57</v>
      </c>
      <c r="C41" s="21" t="s">
        <v>61</v>
      </c>
      <c r="D41" s="22">
        <v>42962</v>
      </c>
      <c r="E41" s="21" t="s">
        <v>8</v>
      </c>
      <c r="F41" s="29"/>
      <c r="G41" s="23" t="s">
        <v>13</v>
      </c>
    </row>
    <row r="42" spans="2:7" x14ac:dyDescent="0.2">
      <c r="B42" s="21" t="s">
        <v>59</v>
      </c>
      <c r="C42" s="21" t="s">
        <v>63</v>
      </c>
      <c r="D42" s="22">
        <v>42962</v>
      </c>
      <c r="E42" s="21" t="s">
        <v>0</v>
      </c>
      <c r="F42" s="29"/>
      <c r="G42" s="23" t="s">
        <v>14</v>
      </c>
    </row>
    <row r="43" spans="2:7" x14ac:dyDescent="0.2">
      <c r="B43" s="21" t="s">
        <v>58</v>
      </c>
      <c r="C43" s="21" t="s">
        <v>62</v>
      </c>
      <c r="D43" s="22">
        <v>42963</v>
      </c>
      <c r="E43" s="21" t="s">
        <v>9</v>
      </c>
      <c r="F43" s="29"/>
      <c r="G43" s="23" t="s">
        <v>15</v>
      </c>
    </row>
    <row r="44" spans="2:7" x14ac:dyDescent="0.2">
      <c r="B44" s="21" t="s">
        <v>60</v>
      </c>
      <c r="C44" s="21" t="s">
        <v>64</v>
      </c>
      <c r="D44" s="22">
        <v>42963</v>
      </c>
      <c r="E44" s="21" t="s">
        <v>11</v>
      </c>
      <c r="F44" s="29"/>
      <c r="G44" s="23" t="s">
        <v>16</v>
      </c>
    </row>
    <row r="45" spans="2:7" x14ac:dyDescent="0.2">
      <c r="B45" s="21" t="s">
        <v>42</v>
      </c>
      <c r="C45" s="21" t="s">
        <v>49</v>
      </c>
      <c r="D45" s="22">
        <v>42964</v>
      </c>
      <c r="E45" s="21" t="s">
        <v>1</v>
      </c>
      <c r="F45" s="29"/>
      <c r="G45" s="23" t="s">
        <v>13</v>
      </c>
    </row>
    <row r="46" spans="2:7" x14ac:dyDescent="0.2">
      <c r="B46" s="21" t="s">
        <v>43</v>
      </c>
      <c r="C46" s="21" t="s">
        <v>51</v>
      </c>
      <c r="D46" s="22">
        <v>42964</v>
      </c>
      <c r="E46" s="21" t="s">
        <v>2</v>
      </c>
      <c r="F46" s="29"/>
      <c r="G46" s="23" t="s">
        <v>14</v>
      </c>
    </row>
    <row r="47" spans="2:7" x14ac:dyDescent="0.2">
      <c r="B47" s="21" t="s">
        <v>29</v>
      </c>
      <c r="C47" s="21" t="s">
        <v>50</v>
      </c>
      <c r="D47" s="22">
        <v>42965</v>
      </c>
      <c r="E47" s="21" t="s">
        <v>3</v>
      </c>
      <c r="F47" s="29"/>
      <c r="G47" s="23" t="s">
        <v>15</v>
      </c>
    </row>
    <row r="48" spans="2:7" x14ac:dyDescent="0.2">
      <c r="B48" s="21" t="s">
        <v>44</v>
      </c>
      <c r="C48" s="21" t="s">
        <v>52</v>
      </c>
      <c r="D48" s="22">
        <v>42965</v>
      </c>
      <c r="E48" s="21" t="s">
        <v>4</v>
      </c>
      <c r="F48" s="29"/>
      <c r="G48" s="23" t="s">
        <v>16</v>
      </c>
    </row>
    <row r="49" spans="2:7" x14ac:dyDescent="0.2">
      <c r="B49" s="21" t="s">
        <v>45</v>
      </c>
      <c r="C49" s="21" t="s">
        <v>53</v>
      </c>
      <c r="D49" s="22">
        <v>42966</v>
      </c>
      <c r="E49" s="21" t="s">
        <v>5</v>
      </c>
      <c r="F49" s="29"/>
      <c r="G49" s="23" t="s">
        <v>13</v>
      </c>
    </row>
    <row r="50" spans="2:7" x14ac:dyDescent="0.2">
      <c r="B50" s="21" t="s">
        <v>47</v>
      </c>
      <c r="C50" s="21" t="s">
        <v>55</v>
      </c>
      <c r="D50" s="22">
        <v>42966</v>
      </c>
      <c r="E50" s="21" t="s">
        <v>10</v>
      </c>
      <c r="F50" s="29"/>
      <c r="G50" s="23" t="s">
        <v>14</v>
      </c>
    </row>
    <row r="51" spans="2:7" x14ac:dyDescent="0.2">
      <c r="B51" s="21" t="s">
        <v>46</v>
      </c>
      <c r="C51" s="21" t="s">
        <v>54</v>
      </c>
      <c r="D51" s="22">
        <v>42967</v>
      </c>
      <c r="E51" s="21" t="s">
        <v>6</v>
      </c>
      <c r="F51" s="29"/>
      <c r="G51" s="23" t="s">
        <v>15</v>
      </c>
    </row>
    <row r="52" spans="2:7" x14ac:dyDescent="0.2">
      <c r="B52" s="21" t="s">
        <v>48</v>
      </c>
      <c r="C52" s="21" t="s">
        <v>56</v>
      </c>
      <c r="D52" s="22">
        <v>42967</v>
      </c>
      <c r="E52" s="21" t="s">
        <v>7</v>
      </c>
      <c r="F52" s="29"/>
      <c r="G52" s="23" t="s">
        <v>16</v>
      </c>
    </row>
    <row r="53" spans="2:7" x14ac:dyDescent="0.2">
      <c r="B53" s="21" t="s">
        <v>49</v>
      </c>
      <c r="C53" s="21" t="s">
        <v>57</v>
      </c>
      <c r="D53" s="22">
        <v>42968</v>
      </c>
      <c r="E53" s="21" t="s">
        <v>8</v>
      </c>
      <c r="F53" s="29"/>
      <c r="G53" s="23" t="s">
        <v>13</v>
      </c>
    </row>
    <row r="54" spans="2:7" x14ac:dyDescent="0.2">
      <c r="B54" s="21" t="s">
        <v>51</v>
      </c>
      <c r="C54" s="21" t="s">
        <v>59</v>
      </c>
      <c r="D54" s="22">
        <v>42968</v>
      </c>
      <c r="E54" s="21" t="s">
        <v>0</v>
      </c>
      <c r="F54" s="29"/>
      <c r="G54" s="23" t="s">
        <v>14</v>
      </c>
    </row>
    <row r="55" spans="2:7" x14ac:dyDescent="0.2">
      <c r="B55" s="21" t="s">
        <v>50</v>
      </c>
      <c r="C55" s="21" t="s">
        <v>58</v>
      </c>
      <c r="D55" s="22">
        <v>42969</v>
      </c>
      <c r="E55" s="21" t="s">
        <v>9</v>
      </c>
      <c r="F55" s="29"/>
      <c r="G55" s="23" t="s">
        <v>15</v>
      </c>
    </row>
    <row r="56" spans="2:7" x14ac:dyDescent="0.2">
      <c r="B56" s="21" t="s">
        <v>52</v>
      </c>
      <c r="C56" s="21" t="s">
        <v>60</v>
      </c>
      <c r="D56" s="22">
        <v>42969</v>
      </c>
      <c r="E56" s="21" t="s">
        <v>11</v>
      </c>
      <c r="F56" s="29"/>
      <c r="G56" s="23" t="s">
        <v>16</v>
      </c>
    </row>
    <row r="57" spans="2:7" x14ac:dyDescent="0.2">
      <c r="B57" s="21" t="s">
        <v>53</v>
      </c>
      <c r="C57" s="21" t="s">
        <v>61</v>
      </c>
      <c r="D57" s="22">
        <v>42970</v>
      </c>
      <c r="E57" s="21" t="s">
        <v>1</v>
      </c>
      <c r="F57" s="29"/>
      <c r="G57" s="23" t="s">
        <v>13</v>
      </c>
    </row>
    <row r="58" spans="2:7" x14ac:dyDescent="0.2">
      <c r="B58" s="21" t="s">
        <v>55</v>
      </c>
      <c r="C58" s="21" t="s">
        <v>63</v>
      </c>
      <c r="D58" s="22">
        <v>42970</v>
      </c>
      <c r="E58" s="21" t="s">
        <v>2</v>
      </c>
      <c r="F58" s="29"/>
      <c r="G58" s="23" t="s">
        <v>14</v>
      </c>
    </row>
    <row r="59" spans="2:7" x14ac:dyDescent="0.2">
      <c r="B59" s="21" t="s">
        <v>54</v>
      </c>
      <c r="C59" s="21" t="s">
        <v>62</v>
      </c>
      <c r="D59" s="22">
        <v>42971</v>
      </c>
      <c r="E59" s="21" t="s">
        <v>3</v>
      </c>
      <c r="F59" s="29"/>
      <c r="G59" s="23" t="s">
        <v>15</v>
      </c>
    </row>
    <row r="60" spans="2:7" x14ac:dyDescent="0.2">
      <c r="B60" s="21" t="s">
        <v>56</v>
      </c>
      <c r="C60" s="21" t="s">
        <v>64</v>
      </c>
      <c r="D60" s="22">
        <v>42971</v>
      </c>
      <c r="E60" s="21" t="s">
        <v>4</v>
      </c>
      <c r="F60" s="29"/>
      <c r="G60" s="23" t="s">
        <v>16</v>
      </c>
    </row>
    <row r="61" spans="2:7" x14ac:dyDescent="0.2">
      <c r="B61" s="21" t="s">
        <v>45</v>
      </c>
      <c r="C61" s="21" t="s">
        <v>57</v>
      </c>
      <c r="D61" s="22">
        <v>42972</v>
      </c>
      <c r="E61" s="21" t="s">
        <v>5</v>
      </c>
      <c r="F61" s="29"/>
      <c r="G61" s="23" t="s">
        <v>13</v>
      </c>
    </row>
    <row r="62" spans="2:7" x14ac:dyDescent="0.2">
      <c r="B62" s="21" t="s">
        <v>47</v>
      </c>
      <c r="C62" s="21" t="s">
        <v>59</v>
      </c>
      <c r="D62" s="22">
        <v>42972</v>
      </c>
      <c r="E62" s="21" t="s">
        <v>10</v>
      </c>
      <c r="F62" s="29"/>
      <c r="G62" s="23" t="s">
        <v>14</v>
      </c>
    </row>
    <row r="63" spans="2:7" x14ac:dyDescent="0.2">
      <c r="B63" s="21" t="s">
        <v>46</v>
      </c>
      <c r="C63" s="21" t="s">
        <v>58</v>
      </c>
      <c r="D63" s="22">
        <v>42973</v>
      </c>
      <c r="E63" s="21" t="s">
        <v>6</v>
      </c>
      <c r="F63" s="29"/>
      <c r="G63" s="23" t="s">
        <v>15</v>
      </c>
    </row>
    <row r="64" spans="2:7" x14ac:dyDescent="0.2">
      <c r="B64" s="21" t="s">
        <v>48</v>
      </c>
      <c r="C64" s="21" t="s">
        <v>60</v>
      </c>
      <c r="D64" s="22">
        <v>42973</v>
      </c>
      <c r="E64" s="21" t="s">
        <v>7</v>
      </c>
      <c r="F64" s="29"/>
      <c r="G64" s="23" t="s">
        <v>16</v>
      </c>
    </row>
    <row r="65" spans="2:7" x14ac:dyDescent="0.2">
      <c r="B65" s="21" t="s">
        <v>42</v>
      </c>
      <c r="C65" s="21" t="s">
        <v>53</v>
      </c>
      <c r="D65" s="22">
        <v>42974</v>
      </c>
      <c r="E65" s="21" t="s">
        <v>8</v>
      </c>
      <c r="F65" s="29"/>
      <c r="G65" s="23" t="s">
        <v>13</v>
      </c>
    </row>
    <row r="66" spans="2:7" x14ac:dyDescent="0.2">
      <c r="B66" s="21" t="s">
        <v>43</v>
      </c>
      <c r="C66" s="21" t="s">
        <v>55</v>
      </c>
      <c r="D66" s="22">
        <v>42974</v>
      </c>
      <c r="E66" s="21" t="s">
        <v>0</v>
      </c>
      <c r="F66" s="29"/>
      <c r="G66" s="23" t="s">
        <v>14</v>
      </c>
    </row>
    <row r="67" spans="2:7" x14ac:dyDescent="0.2">
      <c r="B67" s="21" t="s">
        <v>29</v>
      </c>
      <c r="C67" s="21" t="s">
        <v>54</v>
      </c>
      <c r="D67" s="22">
        <v>42975</v>
      </c>
      <c r="E67" s="21" t="s">
        <v>9</v>
      </c>
      <c r="F67" s="29"/>
      <c r="G67" s="23" t="s">
        <v>15</v>
      </c>
    </row>
    <row r="68" spans="2:7" x14ac:dyDescent="0.2">
      <c r="B68" s="21" t="s">
        <v>44</v>
      </c>
      <c r="C68" s="21" t="s">
        <v>56</v>
      </c>
      <c r="D68" s="22">
        <v>42975</v>
      </c>
      <c r="E68" s="21" t="s">
        <v>11</v>
      </c>
      <c r="F68" s="29"/>
      <c r="G68" s="23" t="s">
        <v>16</v>
      </c>
    </row>
    <row r="69" spans="2:7" x14ac:dyDescent="0.2">
      <c r="B69" s="21" t="s">
        <v>45</v>
      </c>
      <c r="C69" s="21" t="s">
        <v>61</v>
      </c>
      <c r="D69" s="22">
        <v>42976</v>
      </c>
      <c r="E69" s="21" t="s">
        <v>1</v>
      </c>
      <c r="F69" s="29"/>
      <c r="G69" s="23" t="s">
        <v>13</v>
      </c>
    </row>
    <row r="70" spans="2:7" x14ac:dyDescent="0.2">
      <c r="B70" s="21" t="s">
        <v>47</v>
      </c>
      <c r="C70" s="21" t="s">
        <v>63</v>
      </c>
      <c r="D70" s="22">
        <v>42976</v>
      </c>
      <c r="E70" s="21" t="s">
        <v>2</v>
      </c>
      <c r="F70" s="29"/>
      <c r="G70" s="23" t="s">
        <v>14</v>
      </c>
    </row>
    <row r="71" spans="2:7" x14ac:dyDescent="0.2">
      <c r="B71" s="21" t="s">
        <v>46</v>
      </c>
      <c r="C71" s="21" t="s">
        <v>62</v>
      </c>
      <c r="D71" s="22">
        <v>42977</v>
      </c>
      <c r="E71" s="21" t="s">
        <v>3</v>
      </c>
      <c r="F71" s="29"/>
      <c r="G71" s="23" t="s">
        <v>15</v>
      </c>
    </row>
    <row r="72" spans="2:7" x14ac:dyDescent="0.2">
      <c r="B72" s="21" t="s">
        <v>48</v>
      </c>
      <c r="C72" s="21" t="s">
        <v>64</v>
      </c>
      <c r="D72" s="22">
        <v>42977</v>
      </c>
      <c r="E72" s="21" t="s">
        <v>4</v>
      </c>
      <c r="F72" s="29"/>
      <c r="G72" s="23" t="s">
        <v>16</v>
      </c>
    </row>
    <row r="73" spans="2:7" x14ac:dyDescent="0.2">
      <c r="B73" s="21" t="s">
        <v>53</v>
      </c>
      <c r="C73" s="21" t="s">
        <v>57</v>
      </c>
      <c r="D73" s="22">
        <v>42978</v>
      </c>
      <c r="E73" s="21" t="s">
        <v>5</v>
      </c>
      <c r="F73" s="29"/>
      <c r="G73" s="23" t="s">
        <v>13</v>
      </c>
    </row>
    <row r="74" spans="2:7" x14ac:dyDescent="0.2">
      <c r="B74" s="21" t="s">
        <v>55</v>
      </c>
      <c r="C74" s="21" t="s">
        <v>59</v>
      </c>
      <c r="D74" s="22">
        <v>42978</v>
      </c>
      <c r="E74" s="21" t="s">
        <v>10</v>
      </c>
      <c r="F74" s="29"/>
      <c r="G74" s="23" t="s">
        <v>14</v>
      </c>
    </row>
    <row r="75" spans="2:7" x14ac:dyDescent="0.2">
      <c r="B75" s="21" t="s">
        <v>54</v>
      </c>
      <c r="C75" s="21" t="s">
        <v>58</v>
      </c>
      <c r="D75" s="22">
        <v>42979</v>
      </c>
      <c r="E75" s="21" t="s">
        <v>6</v>
      </c>
      <c r="F75" s="29"/>
      <c r="G75" s="23" t="s">
        <v>15</v>
      </c>
    </row>
    <row r="76" spans="2:7" x14ac:dyDescent="0.2">
      <c r="B76" s="21" t="s">
        <v>56</v>
      </c>
      <c r="C76" s="21" t="s">
        <v>60</v>
      </c>
      <c r="D76" s="22">
        <v>42979</v>
      </c>
      <c r="E76" s="21" t="s">
        <v>7</v>
      </c>
      <c r="F76" s="29"/>
      <c r="G76" s="23" t="s">
        <v>16</v>
      </c>
    </row>
    <row r="77" spans="2:7" x14ac:dyDescent="0.2">
      <c r="B77" s="21" t="s">
        <v>49</v>
      </c>
      <c r="C77" s="21" t="s">
        <v>61</v>
      </c>
      <c r="D77" s="22">
        <v>42980</v>
      </c>
      <c r="E77" s="21" t="s">
        <v>8</v>
      </c>
      <c r="F77" s="29"/>
      <c r="G77" s="23" t="s">
        <v>13</v>
      </c>
    </row>
    <row r="78" spans="2:7" x14ac:dyDescent="0.2">
      <c r="B78" s="21" t="s">
        <v>51</v>
      </c>
      <c r="C78" s="21" t="s">
        <v>63</v>
      </c>
      <c r="D78" s="22">
        <v>42980</v>
      </c>
      <c r="E78" s="21" t="s">
        <v>0</v>
      </c>
      <c r="F78" s="29"/>
      <c r="G78" s="23" t="s">
        <v>14</v>
      </c>
    </row>
    <row r="79" spans="2:7" x14ac:dyDescent="0.2">
      <c r="B79" s="21" t="s">
        <v>50</v>
      </c>
      <c r="C79" s="21" t="s">
        <v>62</v>
      </c>
      <c r="D79" s="22">
        <v>42981</v>
      </c>
      <c r="E79" s="21" t="s">
        <v>9</v>
      </c>
      <c r="F79" s="29"/>
      <c r="G79" s="23" t="s">
        <v>15</v>
      </c>
    </row>
    <row r="80" spans="2:7" x14ac:dyDescent="0.2">
      <c r="B80" s="21" t="s">
        <v>52</v>
      </c>
      <c r="C80" s="21" t="s">
        <v>64</v>
      </c>
      <c r="D80" s="22">
        <v>42981</v>
      </c>
      <c r="E80" s="21" t="s">
        <v>11</v>
      </c>
      <c r="F80" s="29"/>
      <c r="G80" s="23" t="s">
        <v>16</v>
      </c>
    </row>
    <row r="81" spans="2:7" x14ac:dyDescent="0.2">
      <c r="B81" s="21" t="s">
        <v>42</v>
      </c>
      <c r="C81" s="21" t="s">
        <v>57</v>
      </c>
      <c r="D81" s="22">
        <v>42982</v>
      </c>
      <c r="E81" s="21" t="s">
        <v>1</v>
      </c>
      <c r="F81" s="29"/>
      <c r="G81" s="23" t="s">
        <v>13</v>
      </c>
    </row>
    <row r="82" spans="2:7" x14ac:dyDescent="0.2">
      <c r="B82" s="21" t="s">
        <v>43</v>
      </c>
      <c r="C82" s="21" t="s">
        <v>59</v>
      </c>
      <c r="D82" s="22">
        <v>42982</v>
      </c>
      <c r="E82" s="21" t="s">
        <v>2</v>
      </c>
      <c r="F82" s="29"/>
      <c r="G82" s="23" t="s">
        <v>14</v>
      </c>
    </row>
    <row r="83" spans="2:7" x14ac:dyDescent="0.2">
      <c r="B83" s="21" t="s">
        <v>29</v>
      </c>
      <c r="C83" s="21" t="s">
        <v>58</v>
      </c>
      <c r="D83" s="22">
        <v>42983</v>
      </c>
      <c r="E83" s="21" t="s">
        <v>3</v>
      </c>
      <c r="F83" s="29"/>
      <c r="G83" s="23" t="s">
        <v>15</v>
      </c>
    </row>
    <row r="84" spans="2:7" x14ac:dyDescent="0.2">
      <c r="B84" s="21" t="s">
        <v>44</v>
      </c>
      <c r="C84" s="21" t="s">
        <v>60</v>
      </c>
      <c r="D84" s="22">
        <v>42983</v>
      </c>
      <c r="E84" s="21" t="s">
        <v>4</v>
      </c>
      <c r="F84" s="29"/>
      <c r="G84" s="23" t="s">
        <v>16</v>
      </c>
    </row>
    <row r="85" spans="2:7" x14ac:dyDescent="0.2">
      <c r="B85" s="21" t="s">
        <v>45</v>
      </c>
      <c r="C85" s="21" t="s">
        <v>49</v>
      </c>
      <c r="D85" s="22">
        <v>42984</v>
      </c>
      <c r="E85" s="21" t="s">
        <v>5</v>
      </c>
      <c r="F85" s="29"/>
      <c r="G85" s="23" t="s">
        <v>13</v>
      </c>
    </row>
    <row r="86" spans="2:7" x14ac:dyDescent="0.2">
      <c r="B86" s="21" t="s">
        <v>47</v>
      </c>
      <c r="C86" s="21" t="s">
        <v>51</v>
      </c>
      <c r="D86" s="22">
        <v>42984</v>
      </c>
      <c r="E86" s="21" t="s">
        <v>10</v>
      </c>
      <c r="F86" s="29"/>
      <c r="G86" s="23" t="s">
        <v>14</v>
      </c>
    </row>
    <row r="87" spans="2:7" x14ac:dyDescent="0.2">
      <c r="B87" s="21" t="s">
        <v>46</v>
      </c>
      <c r="C87" s="21" t="s">
        <v>50</v>
      </c>
      <c r="D87" s="22">
        <v>42985</v>
      </c>
      <c r="E87" s="21" t="s">
        <v>6</v>
      </c>
      <c r="F87" s="29"/>
      <c r="G87" s="23" t="s">
        <v>15</v>
      </c>
    </row>
    <row r="88" spans="2:7" x14ac:dyDescent="0.2">
      <c r="B88" s="21" t="s">
        <v>48</v>
      </c>
      <c r="C88" s="21" t="s">
        <v>52</v>
      </c>
      <c r="D88" s="22">
        <v>42985</v>
      </c>
      <c r="E88" s="21" t="s">
        <v>7</v>
      </c>
      <c r="F88" s="29"/>
      <c r="G88" s="23" t="s">
        <v>16</v>
      </c>
    </row>
    <row r="89" spans="2:7" x14ac:dyDescent="0.2">
      <c r="B89" s="21" t="s">
        <v>42</v>
      </c>
      <c r="C89" s="21" t="s">
        <v>61</v>
      </c>
      <c r="D89" s="22">
        <v>42986</v>
      </c>
      <c r="E89" s="21" t="s">
        <v>8</v>
      </c>
      <c r="F89" s="29"/>
      <c r="G89" s="23" t="s">
        <v>13</v>
      </c>
    </row>
    <row r="90" spans="2:7" x14ac:dyDescent="0.2">
      <c r="B90" s="21" t="s">
        <v>43</v>
      </c>
      <c r="C90" s="21" t="s">
        <v>63</v>
      </c>
      <c r="D90" s="22">
        <v>42986</v>
      </c>
      <c r="E90" s="21" t="s">
        <v>0</v>
      </c>
      <c r="F90" s="29"/>
      <c r="G90" s="23" t="s">
        <v>14</v>
      </c>
    </row>
    <row r="91" spans="2:7" x14ac:dyDescent="0.2">
      <c r="B91" s="21" t="s">
        <v>29</v>
      </c>
      <c r="C91" s="21" t="s">
        <v>62</v>
      </c>
      <c r="D91" s="22">
        <v>42987</v>
      </c>
      <c r="E91" s="21" t="s">
        <v>9</v>
      </c>
      <c r="F91" s="29"/>
      <c r="G91" s="23" t="s">
        <v>15</v>
      </c>
    </row>
    <row r="92" spans="2:7" x14ac:dyDescent="0.2">
      <c r="B92" s="21" t="s">
        <v>44</v>
      </c>
      <c r="C92" s="21" t="s">
        <v>64</v>
      </c>
      <c r="D92" s="22">
        <v>42987</v>
      </c>
      <c r="E92" s="21" t="s">
        <v>11</v>
      </c>
      <c r="F92" s="29"/>
      <c r="G92" s="23" t="s">
        <v>16</v>
      </c>
    </row>
    <row r="93" spans="2:7" x14ac:dyDescent="0.2">
      <c r="B93" s="21" t="s">
        <v>42</v>
      </c>
      <c r="C93" s="21" t="s">
        <v>48</v>
      </c>
      <c r="D93" s="22">
        <v>42988</v>
      </c>
      <c r="E93" s="21" t="s">
        <v>1</v>
      </c>
      <c r="F93" s="29"/>
      <c r="G93" s="23" t="s">
        <v>18</v>
      </c>
    </row>
    <row r="94" spans="2:7" x14ac:dyDescent="0.2">
      <c r="B94" s="21" t="s">
        <v>29</v>
      </c>
      <c r="C94" s="21" t="s">
        <v>47</v>
      </c>
      <c r="D94" s="22">
        <v>42989</v>
      </c>
      <c r="E94" s="21" t="s">
        <v>2</v>
      </c>
      <c r="F94" s="29"/>
      <c r="G94" s="23" t="s">
        <v>18</v>
      </c>
    </row>
    <row r="95" spans="2:7" x14ac:dyDescent="0.2">
      <c r="B95" s="21" t="s">
        <v>43</v>
      </c>
      <c r="C95" s="21" t="s">
        <v>46</v>
      </c>
      <c r="D95" s="22">
        <v>42990</v>
      </c>
      <c r="E95" s="21" t="s">
        <v>3</v>
      </c>
      <c r="F95" s="29"/>
      <c r="G95" s="23" t="s">
        <v>18</v>
      </c>
    </row>
    <row r="96" spans="2:7" x14ac:dyDescent="0.2">
      <c r="B96" s="21" t="s">
        <v>44</v>
      </c>
      <c r="C96" s="21" t="s">
        <v>45</v>
      </c>
      <c r="D96" s="22">
        <v>42991</v>
      </c>
      <c r="E96" s="21" t="s">
        <v>4</v>
      </c>
      <c r="F96" s="29"/>
      <c r="G96" s="23" t="s">
        <v>18</v>
      </c>
    </row>
    <row r="97" spans="2:7" x14ac:dyDescent="0.2">
      <c r="B97" s="21" t="s">
        <v>42</v>
      </c>
      <c r="C97" s="21" t="s">
        <v>44</v>
      </c>
      <c r="D97" s="22">
        <v>42992</v>
      </c>
      <c r="E97" s="21" t="s">
        <v>5</v>
      </c>
      <c r="F97" s="29"/>
      <c r="G97" s="23" t="s">
        <v>17</v>
      </c>
    </row>
    <row r="98" spans="2:7" x14ac:dyDescent="0.2">
      <c r="B98" s="21" t="s">
        <v>29</v>
      </c>
      <c r="C98" s="21" t="s">
        <v>43</v>
      </c>
      <c r="D98" s="22">
        <v>42993</v>
      </c>
      <c r="E98" s="21" t="s">
        <v>10</v>
      </c>
      <c r="F98" s="29"/>
      <c r="G98" s="23" t="s">
        <v>17</v>
      </c>
    </row>
    <row r="99" spans="2:7" ht="13.5" thickBot="1" x14ac:dyDescent="0.25">
      <c r="B99" s="24" t="s">
        <v>42</v>
      </c>
      <c r="C99" s="24" t="s">
        <v>29</v>
      </c>
      <c r="D99" s="25">
        <v>42994</v>
      </c>
      <c r="E99" s="24" t="s">
        <v>6</v>
      </c>
      <c r="F99" s="30"/>
      <c r="G99" s="26" t="s">
        <v>12</v>
      </c>
    </row>
  </sheetData>
  <mergeCells count="1">
    <mergeCell ref="G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Executive_Summary</vt:lpstr>
      <vt:lpstr>Calculation_Engine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</dc:creator>
  <cp:lastModifiedBy>Eduardo Rrosas Vazquez</cp:lastModifiedBy>
  <dcterms:created xsi:type="dcterms:W3CDTF">2017-12-14T18:48:54Z</dcterms:created>
  <dcterms:modified xsi:type="dcterms:W3CDTF">2026-01-13T06:05:25Z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b1b6293a-2635-4581-8e61-ae161b67ad33</vt:lpwstr>
  </property>
</Properties>
</file>